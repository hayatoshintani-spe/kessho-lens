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マスタ設定" sheetId="2" state="visible" r:id="rId2"/>
    <sheet xmlns:r="http://schemas.openxmlformats.org/officeDocument/2006/relationships" name="01_顧客棚卸し・ランク" sheetId="3" state="visible" r:id="rId3"/>
    <sheet xmlns:r="http://schemas.openxmlformats.org/officeDocument/2006/relationships" name="02_案件棚卸し・スコアリング" sheetId="4" state="visible" r:id="rId4"/>
    <sheet xmlns:r="http://schemas.openxmlformats.org/officeDocument/2006/relationships" name="03_パートナー棚卸し" sheetId="5" state="visible" r:id="rId5"/>
    <sheet xmlns:r="http://schemas.openxmlformats.org/officeDocument/2006/relationships" name="04_トップ外交管理" sheetId="6" state="visible" r:id="rId6"/>
    <sheet xmlns:r="http://schemas.openxmlformats.org/officeDocument/2006/relationships" name="05_休眠顧客・再活性化" sheetId="7" state="visible" r:id="rId7"/>
  </sheets>
  <definedNames>
    <definedName name="_xlnm._FilterDatabase" localSheetId="2" hidden="1">'01_顧客棚卸し・ランク'!$A$1:$U$200</definedName>
    <definedName name="_xlnm._FilterDatabase" localSheetId="3" hidden="1">'02_案件棚卸し・スコアリング'!$A$1:$AC$200</definedName>
    <definedName name="_xlnm._FilterDatabase" localSheetId="4" hidden="1">'03_パートナー棚卸し'!$A$1:$K$200</definedName>
    <definedName name="_xlnm._FilterDatabase" localSheetId="5" hidden="1">'04_トップ外交管理'!$A$1:$Q$200</definedName>
    <definedName name="_xlnm._FilterDatabase" localSheetId="6" hidden="1">'05_休眠顧客・再活性化'!$A$1:$M$200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A106E"/>
      <sz val="14"/>
    </font>
    <font>
      <name val="Yu Gothic"/>
      <sz val="10"/>
    </font>
    <font>
      <name val="Yu Gothic"/>
      <b val="1"/>
      <color rgb="003A106E"/>
      <sz val="11"/>
    </font>
    <font>
      <name val="Yu Gothic"/>
      <color rgb="005F5F6E"/>
      <sz val="9"/>
    </font>
    <font>
      <name val="Yu Gothic"/>
      <b val="1"/>
      <color rgb="00FFFFFF"/>
      <sz val="10"/>
    </font>
    <font>
      <name val="Yu Gothic"/>
      <b val="1"/>
      <color rgb="003A106E"/>
      <sz val="10"/>
    </font>
  </fonts>
  <fills count="4">
    <fill>
      <patternFill/>
    </fill>
    <fill>
      <patternFill patternType="gray125"/>
    </fill>
    <fill>
      <patternFill patternType="solid">
        <fgColor rgb="003A106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E0"/>
      </left>
      <right style="thin">
        <color rgb="00D9D9E0"/>
      </right>
      <top style="thin">
        <color rgb="00D9D9E0"/>
      </top>
      <bottom style="thin">
        <color rgb="00D9D9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Yu Gothic"/>
        <b val="1"/>
        <color rgb="007823DC"/>
      </font>
    </dxf>
    <dxf>
      <font>
        <name val="Yu Gothic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営業改革 棚卸し・スコアリングマスター（STO運用）</t>
        </is>
      </c>
    </row>
    <row r="3">
      <c r="A3" s="2" t="inlineStr">
        <is>
          <t>本ファイルは営業改革の中核データベース（Excel版MVP）。STOが管理し、週次で更新する。</t>
        </is>
      </c>
    </row>
    <row r="4">
      <c r="A4" s="2" t="inlineStr"/>
    </row>
    <row r="5">
      <c r="A5" s="3" t="inlineStr">
        <is>
          <t>■ 使い方</t>
        </is>
      </c>
    </row>
    <row r="6">
      <c r="A6" s="2" t="inlineStr">
        <is>
          <t>1.「マスタ設定」で営業領域・担当者・スコアウェイト・判定閾値を自社に合わせて調整する（黄色セルが編集対象）</t>
        </is>
      </c>
    </row>
    <row r="7">
      <c r="A7" s="2" t="inlineStr">
        <is>
          <t>2. 5つの棚卸しシート（顧客/案件/パートナー/トップ外交/休眠顧客）に全量を登録する。既存資料からSTOが下書きを作り、現場は確認・修正のみ</t>
        </is>
      </c>
    </row>
    <row r="8">
      <c r="A8" s="2" t="inlineStr">
        <is>
          <t>3. 案件シートの7軸スコア（1〜5点）を入力すると、総合スコア・案件区分（S/A/B/C）・高工数低収益判定が自動計算される</t>
        </is>
      </c>
    </row>
    <row r="9">
      <c r="A9" s="2" t="inlineStr">
        <is>
          <t>4. 顧客シートの5要素スコアを入力すると、顧客ランクが自動判定される（確定列で上書き可）</t>
        </is>
      </c>
    </row>
    <row r="10">
      <c r="A10" s="2" t="inlineStr">
        <is>
          <t>5. 停滞案件は「最終更新日」から自動判定（既定30日、マスタ設定で変更可）。オートフィルタで「停滞」を絞り込み、週次会議のアジェンダにする</t>
        </is>
      </c>
    </row>
    <row r="11">
      <c r="A11" s="2" t="inlineStr"/>
    </row>
    <row r="12">
      <c r="A12" s="3" t="inlineStr">
        <is>
          <t>■ 運用ルール</t>
        </is>
      </c>
    </row>
    <row r="13">
      <c r="A13" s="2" t="inlineStr">
        <is>
          <t>・案件ID/顧客IDはSTOが採番（例：C-0001、P-0001、D-0001）</t>
        </is>
      </c>
    </row>
    <row r="14">
      <c r="A14" s="2" t="inlineStr">
        <is>
          <t>・次アクションと期限のない案件を作らない（次アクション設定率はKPI）</t>
        </is>
      </c>
    </row>
    <row r="15">
      <c r="A15" s="2" t="inlineStr">
        <is>
          <t>・月次ポートフォリオ会議の前営業日までにSTOが全シートを締める</t>
        </is>
      </c>
    </row>
    <row r="16">
      <c r="A16" s="4" t="inlineStr">
        <is>
          <t>※ サンプル行（薄紫）は書式・数式の見本。実データ投入時に上書きしてよい</t>
        </is>
      </c>
    </row>
    <row r="17">
      <c r="A17" s="4" t="inlineStr">
        <is>
          <t>※ 本データは監視のためではなく、営業の時間を顧客に返すために使う（経営宣言文書参照）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6" max="16"/>
    <col width="40" customWidth="1" min="18" max="18"/>
  </cols>
  <sheetData>
    <row r="1" ht="28" customHeight="1">
      <c r="A1" s="5" t="inlineStr">
        <is>
          <t>営業領域</t>
        </is>
      </c>
      <c r="B1" s="5" t="inlineStr">
        <is>
          <t>ステージ</t>
        </is>
      </c>
      <c r="C1" s="5" t="inlineStr">
        <is>
          <t>確度</t>
        </is>
      </c>
      <c r="D1" s="5" t="inlineStr">
        <is>
          <t>関係状態</t>
        </is>
      </c>
      <c r="E1" s="5" t="inlineStr">
        <is>
          <t>顧客ランク</t>
        </is>
      </c>
      <c r="F1" s="5" t="inlineStr">
        <is>
          <t>トップ外交状態</t>
        </is>
      </c>
      <c r="G1" s="5" t="inlineStr">
        <is>
          <t>活動分類（工数10分類）</t>
        </is>
      </c>
      <c r="H1" s="5" t="inlineStr">
        <is>
          <t>タスク状態</t>
        </is>
      </c>
      <c r="I1" s="5" t="inlineStr">
        <is>
          <t>決定区分</t>
        </is>
      </c>
      <c r="J1" s="5" t="inlineStr">
        <is>
          <t>パートナー種別</t>
        </is>
      </c>
      <c r="K1" s="5" t="inlineStr">
        <is>
          <t>依存度</t>
        </is>
      </c>
      <c r="L1" s="5" t="inlineStr">
        <is>
          <t>ポテンシャル</t>
        </is>
      </c>
      <c r="M1" s="5" t="inlineStr">
        <is>
          <t>担当者（自社に合わせ編集）</t>
        </is>
      </c>
      <c r="P1" s="6" t="inlineStr">
        <is>
          <t>スコアウェイト（編集可・合計1.00）</t>
        </is>
      </c>
      <c r="R1" s="6" t="inlineStr">
        <is>
          <t>判定閾値（編集可）</t>
        </is>
      </c>
    </row>
    <row r="2">
      <c r="A2" s="7" t="inlineStr">
        <is>
          <t>ライセンス</t>
        </is>
      </c>
      <c r="B2" s="7" t="inlineStr">
        <is>
          <t>リード</t>
        </is>
      </c>
      <c r="C2" s="7" t="inlineStr">
        <is>
          <t>高（75%以上）</t>
        </is>
      </c>
      <c r="D2" s="7" t="inlineStr">
        <is>
          <t>活発</t>
        </is>
      </c>
      <c r="E2" s="7" t="inlineStr">
        <is>
          <t>S</t>
        </is>
      </c>
      <c r="F2" s="7" t="inlineStr">
        <is>
          <t>登録</t>
        </is>
      </c>
      <c r="G2" s="7" t="inlineStr">
        <is>
          <t>①商談・顧客面談</t>
        </is>
      </c>
      <c r="H2" s="7" t="inlineStr">
        <is>
          <t>未着手</t>
        </is>
      </c>
      <c r="I2" s="7" t="inlineStr">
        <is>
          <t>撤退</t>
        </is>
      </c>
      <c r="J2" s="7" t="inlineStr">
        <is>
          <t>代理店</t>
        </is>
      </c>
      <c r="K2" s="7" t="inlineStr">
        <is>
          <t>高</t>
        </is>
      </c>
      <c r="L2" s="7" t="inlineStr">
        <is>
          <t>S</t>
        </is>
      </c>
      <c r="M2" s="7" t="inlineStr">
        <is>
          <t>担当者A</t>
        </is>
      </c>
      <c r="P2" s="7" t="inlineStr">
        <is>
          <t>売上規模</t>
        </is>
      </c>
      <c r="Q2" s="8" t="n">
        <v>0.15</v>
      </c>
      <c r="R2" s="9" t="inlineStr">
        <is>
          <t>高工数低収益：粗利/工数がこの値未満（千円/h）</t>
        </is>
      </c>
      <c r="S2" s="8" t="n">
        <v>5</v>
      </c>
    </row>
    <row r="3">
      <c r="A3" s="7" t="inlineStr">
        <is>
          <t>自社MD</t>
        </is>
      </c>
      <c r="B3" s="7" t="inlineStr">
        <is>
          <t>商談</t>
        </is>
      </c>
      <c r="C3" s="7" t="inlineStr">
        <is>
          <t>中（50%）</t>
        </is>
      </c>
      <c r="D3" s="7" t="inlineStr">
        <is>
          <t>維持</t>
        </is>
      </c>
      <c r="E3" s="7" t="inlineStr">
        <is>
          <t>A</t>
        </is>
      </c>
      <c r="F3" s="7" t="inlineStr">
        <is>
          <t>アサイン済</t>
        </is>
      </c>
      <c r="G3" s="7" t="inlineStr">
        <is>
          <t>②提案書・企画書作成</t>
        </is>
      </c>
      <c r="H3" s="7" t="inlineStr">
        <is>
          <t>進行中</t>
        </is>
      </c>
      <c r="I3" s="7" t="inlineStr">
        <is>
          <t>省力化</t>
        </is>
      </c>
      <c r="J3" s="7" t="inlineStr">
        <is>
          <t>エージェント</t>
        </is>
      </c>
      <c r="K3" s="7" t="inlineStr">
        <is>
          <t>中</t>
        </is>
      </c>
      <c r="L3" s="7" t="inlineStr">
        <is>
          <t>A</t>
        </is>
      </c>
      <c r="M3" s="7" t="inlineStr">
        <is>
          <t>担当者B</t>
        </is>
      </c>
      <c r="P3" s="7" t="inlineStr">
        <is>
          <t>粗利</t>
        </is>
      </c>
      <c r="Q3" s="8" t="n">
        <v>0.2</v>
      </c>
      <c r="R3" s="9" t="inlineStr">
        <is>
          <t>高工数低収益：工数がこの値超（h）</t>
        </is>
      </c>
      <c r="S3" s="8" t="n">
        <v>100</v>
      </c>
    </row>
    <row r="4">
      <c r="A4" s="7" t="inlineStr">
        <is>
          <t>リテール</t>
        </is>
      </c>
      <c r="B4" s="7" t="inlineStr">
        <is>
          <t>提案</t>
        </is>
      </c>
      <c r="C4" s="7" t="inlineStr">
        <is>
          <t>低（25%）</t>
        </is>
      </c>
      <c r="D4" s="7" t="inlineStr">
        <is>
          <t>休眠</t>
        </is>
      </c>
      <c r="E4" s="7" t="inlineStr">
        <is>
          <t>B</t>
        </is>
      </c>
      <c r="F4" s="7" t="inlineStr">
        <is>
          <t>初動済</t>
        </is>
      </c>
      <c r="G4" s="7" t="inlineStr">
        <is>
          <t>③監修対応</t>
        </is>
      </c>
      <c r="H4" s="7" t="inlineStr">
        <is>
          <t>完了</t>
        </is>
      </c>
      <c r="I4" s="7" t="inlineStr">
        <is>
          <t>重点化</t>
        </is>
      </c>
      <c r="J4" s="7" t="inlineStr">
        <is>
          <t>共同事業者</t>
        </is>
      </c>
      <c r="K4" s="7" t="inlineStr">
        <is>
          <t>低</t>
        </is>
      </c>
      <c r="L4" s="7" t="inlineStr">
        <is>
          <t>B</t>
        </is>
      </c>
      <c r="M4" s="7" t="inlineStr">
        <is>
          <t>担当者C</t>
        </is>
      </c>
      <c r="P4" s="7" t="inlineStr">
        <is>
          <t>工数効率</t>
        </is>
      </c>
      <c r="Q4" s="8" t="n">
        <v>0.15</v>
      </c>
      <c r="R4" s="9" t="inlineStr">
        <is>
          <t>停滞判定（日）</t>
        </is>
      </c>
      <c r="S4" s="8" t="n">
        <v>30</v>
      </c>
    </row>
    <row r="5">
      <c r="A5" s="7" t="inlineStr">
        <is>
          <t>イベント</t>
        </is>
      </c>
      <c r="B5" s="7" t="inlineStr">
        <is>
          <t>条件合意</t>
        </is>
      </c>
      <c r="C5" s="7" t="inlineStr">
        <is>
          <t>初期（10%）</t>
        </is>
      </c>
      <c r="E5" s="7" t="inlineStr">
        <is>
          <t>C</t>
        </is>
      </c>
      <c r="F5" s="7" t="inlineStr">
        <is>
          <t>案件化</t>
        </is>
      </c>
      <c r="G5" s="7" t="inlineStr">
        <is>
          <t>④契約・法務対応</t>
        </is>
      </c>
      <c r="H5" s="7" t="inlineStr">
        <is>
          <t>保留</t>
        </is>
      </c>
      <c r="I5" s="7" t="inlineStr">
        <is>
          <t>経営支援</t>
        </is>
      </c>
      <c r="J5" s="7" t="inlineStr">
        <is>
          <t>制作パートナー</t>
        </is>
      </c>
      <c r="L5" s="7" t="inlineStr">
        <is>
          <t>C</t>
        </is>
      </c>
      <c r="M5" s="7" t="inlineStr">
        <is>
          <t>担当者D</t>
        </is>
      </c>
      <c r="P5" s="7" t="inlineStr">
        <is>
          <t>戦略価値</t>
        </is>
      </c>
      <c r="Q5" s="8" t="n">
        <v>0.15</v>
      </c>
      <c r="R5" s="9" t="inlineStr">
        <is>
          <t>案件区分S（総合スコア以上）</t>
        </is>
      </c>
      <c r="S5" s="8" t="n">
        <v>80</v>
      </c>
    </row>
    <row r="6">
      <c r="A6" s="7" t="inlineStr">
        <is>
          <t>海外</t>
        </is>
      </c>
      <c r="B6" s="7" t="inlineStr">
        <is>
          <t>監修・契約</t>
        </is>
      </c>
      <c r="F6" s="7" t="inlineStr">
        <is>
          <t>提案</t>
        </is>
      </c>
      <c r="G6" s="7" t="inlineStr">
        <is>
          <t>⑤社内調整・会議</t>
        </is>
      </c>
      <c r="I6" s="7" t="inlineStr">
        <is>
          <t>ルール変更</t>
        </is>
      </c>
      <c r="J6" s="7" t="inlineStr">
        <is>
          <t>その他</t>
        </is>
      </c>
      <c r="M6" s="7" t="inlineStr">
        <is>
          <t>担当者E</t>
        </is>
      </c>
      <c r="P6" s="7" t="inlineStr">
        <is>
          <t>CRM価値</t>
        </is>
      </c>
      <c r="Q6" s="8" t="n">
        <v>0.1</v>
      </c>
      <c r="R6" s="9" t="inlineStr">
        <is>
          <t>案件区分A（以上）</t>
        </is>
      </c>
      <c r="S6" s="8" t="n">
        <v>65</v>
      </c>
    </row>
    <row r="7">
      <c r="A7" s="7" t="inlineStr">
        <is>
          <t>カードゲーム関連</t>
        </is>
      </c>
      <c r="B7" s="7" t="inlineStr">
        <is>
          <t>立ち上げ・運用</t>
        </is>
      </c>
      <c r="F7" s="7" t="inlineStr">
        <is>
          <t>契約</t>
        </is>
      </c>
      <c r="G7" s="7" t="inlineStr">
        <is>
          <t>⑥素材確認・手配</t>
        </is>
      </c>
      <c r="I7" s="7" t="inlineStr">
        <is>
          <t>その他</t>
        </is>
      </c>
      <c r="P7" s="7" t="inlineStr">
        <is>
          <t>海外展開価値</t>
        </is>
      </c>
      <c r="Q7" s="8" t="n">
        <v>0.1</v>
      </c>
      <c r="R7" s="9" t="inlineStr">
        <is>
          <t>案件区分B（以上）</t>
        </is>
      </c>
      <c r="S7" s="8" t="n">
        <v>50</v>
      </c>
    </row>
    <row r="8">
      <c r="A8" s="7" t="inlineStr">
        <is>
          <t>広告・タイアップ</t>
        </is>
      </c>
      <c r="F8" s="7" t="inlineStr">
        <is>
          <t>消滅</t>
        </is>
      </c>
      <c r="G8" s="7" t="inlineStr">
        <is>
          <t>⑦問い合わせ・許諾事務</t>
        </is>
      </c>
      <c r="P8" s="7" t="inlineStr">
        <is>
          <t>IP/ブランド価値</t>
        </is>
      </c>
      <c r="Q8" s="8" t="n">
        <v>0.15</v>
      </c>
    </row>
    <row r="9">
      <c r="A9" s="7" t="inlineStr">
        <is>
          <t>D2C/CRM連動</t>
        </is>
      </c>
      <c r="F9" s="7" t="inlineStr">
        <is>
          <t>保留</t>
        </is>
      </c>
      <c r="G9" s="7" t="inlineStr">
        <is>
          <t>⑧移動</t>
        </is>
      </c>
      <c r="P9" s="9" t="inlineStr">
        <is>
          <t>合計（=1.00になること）</t>
        </is>
      </c>
      <c r="Q9">
        <f>SUM(Q2:Q8)</f>
        <v/>
      </c>
    </row>
    <row r="10">
      <c r="A10" s="7" t="inlineStr">
        <is>
          <t>新規事業</t>
        </is>
      </c>
      <c r="G10" s="7" t="inlineStr">
        <is>
          <t>⑨新規開拓・情報収集</t>
        </is>
      </c>
    </row>
    <row r="11">
      <c r="A11" s="7" t="inlineStr">
        <is>
          <t>教育・須賀川関連</t>
        </is>
      </c>
      <c r="G11" s="7" t="inlineStr">
        <is>
          <t>⑩その他管理業務</t>
        </is>
      </c>
    </row>
    <row r="12">
      <c r="A12" s="7" t="inlineStr">
        <is>
          <t>AI協業</t>
        </is>
      </c>
    </row>
    <row r="13">
      <c r="A13" s="7" t="inlineStr">
        <is>
          <t>トップ外交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9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8" customWidth="1" min="19" max="19"/>
    <col width="22" customWidth="1" min="20" max="20"/>
    <col width="24" customWidth="1" min="21" max="21"/>
  </cols>
  <sheetData>
    <row r="1" ht="28" customHeight="1">
      <c r="A1" s="10" t="inlineStr">
        <is>
          <t>顧客ID</t>
        </is>
      </c>
      <c r="B1" s="10" t="inlineStr">
        <is>
          <t>顧客名</t>
        </is>
      </c>
      <c r="C1" s="10" t="inlineStr">
        <is>
          <t>営業領域</t>
        </is>
      </c>
      <c r="D1" s="10" t="inlineStr">
        <is>
          <t>担当者</t>
        </is>
      </c>
      <c r="E1" s="10" t="inlineStr">
        <is>
          <t>直近取引年</t>
        </is>
      </c>
      <c r="F1" s="10" t="inlineStr">
        <is>
          <t>年間取引額(千円)</t>
        </is>
      </c>
      <c r="G1" s="10" t="inlineStr">
        <is>
          <t>年間粗利(千円)</t>
        </is>
      </c>
      <c r="H1" s="10" t="inlineStr">
        <is>
          <t>関係状態</t>
        </is>
      </c>
      <c r="I1" s="10" t="inlineStr">
        <is>
          <t>キーパーソン</t>
        </is>
      </c>
      <c r="J1" s="10" t="inlineStr">
        <is>
          <t>取引実績(1-5)</t>
        </is>
      </c>
      <c r="K1" s="10" t="inlineStr">
        <is>
          <t>成長性(1-5)</t>
        </is>
      </c>
      <c r="L1" s="10" t="inlineStr">
        <is>
          <t>IP適合(1-5)</t>
        </is>
      </c>
      <c r="M1" s="10" t="inlineStr">
        <is>
          <t>CRM/D2C価値(1-5)</t>
        </is>
      </c>
      <c r="N1" s="10" t="inlineStr">
        <is>
          <t>海外価値(1-5)</t>
        </is>
      </c>
      <c r="O1" s="10" t="inlineStr">
        <is>
          <t>スコア合計</t>
        </is>
      </c>
      <c r="P1" s="10" t="inlineStr">
        <is>
          <t>ランク(自動)</t>
        </is>
      </c>
      <c r="Q1" s="10" t="inlineStr">
        <is>
          <t>ランク(確定)</t>
        </is>
      </c>
      <c r="R1" s="10" t="inlineStr">
        <is>
          <t>最終接触日</t>
        </is>
      </c>
      <c r="S1" s="10" t="inlineStr">
        <is>
          <t>経過日数</t>
        </is>
      </c>
      <c r="T1" s="10" t="inlineStr">
        <is>
          <t>次アクション</t>
        </is>
      </c>
      <c r="U1" s="10" t="inlineStr">
        <is>
          <t>メモ</t>
        </is>
      </c>
    </row>
    <row r="2">
      <c r="A2" s="11" t="inlineStr">
        <is>
          <t>C-0001</t>
        </is>
      </c>
      <c r="B2" s="11" t="inlineStr">
        <is>
          <t>（サンプル）玩具メーカーA社</t>
        </is>
      </c>
      <c r="C2" s="11" t="inlineStr">
        <is>
          <t>ライセンス</t>
        </is>
      </c>
      <c r="D2" s="11" t="inlineStr">
        <is>
          <t>担当者A</t>
        </is>
      </c>
      <c r="E2" s="11" t="n">
        <v>2026</v>
      </c>
      <c r="F2" s="11" t="n">
        <v>120000</v>
      </c>
      <c r="G2" s="11" t="n">
        <v>42000</v>
      </c>
      <c r="H2" s="11" t="inlineStr">
        <is>
          <t>活発</t>
        </is>
      </c>
      <c r="I2" s="11" t="inlineStr">
        <is>
          <t>商品部 ○○部長</t>
        </is>
      </c>
      <c r="J2" s="11" t="n">
        <v>5</v>
      </c>
      <c r="K2" s="11" t="n">
        <v>4</v>
      </c>
      <c r="L2" s="11" t="n">
        <v>5</v>
      </c>
      <c r="M2" s="11" t="n">
        <v>3</v>
      </c>
      <c r="N2" s="11" t="n">
        <v>4</v>
      </c>
      <c r="O2" s="11">
        <f>IF(COUNT(J2:N2)=0,"",SUM(J2:N2))</f>
        <v/>
      </c>
      <c r="P2" s="11">
        <f>IF(O2="","",IF(O2&gt;=21,"S",IF(O2&gt;=17,"A",IF(O2&gt;=12,"B","C"))))</f>
        <v/>
      </c>
      <c r="Q2" s="11" t="inlineStr">
        <is>
          <t>S</t>
        </is>
      </c>
      <c r="R2" s="11" t="inlineStr">
        <is>
          <t>2026-06-20</t>
        </is>
      </c>
      <c r="S2" s="11">
        <f>IF(R2="","",TODAY()-R2)</f>
        <v/>
      </c>
      <c r="T2" s="11" t="inlineStr">
        <is>
          <t>秋商戦ライン提案（7/15）</t>
        </is>
      </c>
      <c r="U2" s="11" t="inlineStr">
        <is>
          <t>サンプル行：数式の見本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>
        <f>IF(COUNT(J3:N3)=0,"",SUM(J3:N3))</f>
        <v/>
      </c>
      <c r="P3" s="11">
        <f>IF(O3="","",IF(O3&gt;=21,"S",IF(O3&gt;=17,"A",IF(O3&gt;=12,"B","C"))))</f>
        <v/>
      </c>
      <c r="Q3" s="11" t="n"/>
      <c r="R3" s="11" t="n"/>
      <c r="S3" s="11">
        <f>IF(R3="","",TODAY()-R3)</f>
        <v/>
      </c>
      <c r="T3" s="11" t="n"/>
      <c r="U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>
        <f>IF(COUNT(J4:N4)=0,"",SUM(J4:N4))</f>
        <v/>
      </c>
      <c r="P4" s="11">
        <f>IF(O4="","",IF(O4&gt;=21,"S",IF(O4&gt;=17,"A",IF(O4&gt;=12,"B","C"))))</f>
        <v/>
      </c>
      <c r="Q4" s="11" t="n"/>
      <c r="R4" s="11" t="n"/>
      <c r="S4" s="11">
        <f>IF(R4="","",TODAY()-R4)</f>
        <v/>
      </c>
      <c r="T4" s="11" t="n"/>
      <c r="U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>
        <f>IF(COUNT(J5:N5)=0,"",SUM(J5:N5))</f>
        <v/>
      </c>
      <c r="P5" s="11">
        <f>IF(O5="","",IF(O5&gt;=21,"S",IF(O5&gt;=17,"A",IF(O5&gt;=12,"B","C"))))</f>
        <v/>
      </c>
      <c r="Q5" s="11" t="n"/>
      <c r="R5" s="11" t="n"/>
      <c r="S5" s="11">
        <f>IF(R5="","",TODAY()-R5)</f>
        <v/>
      </c>
      <c r="T5" s="11" t="n"/>
      <c r="U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>
        <f>IF(COUNT(J6:N6)=0,"",SUM(J6:N6))</f>
        <v/>
      </c>
      <c r="P6" s="11">
        <f>IF(O6="","",IF(O6&gt;=21,"S",IF(O6&gt;=17,"A",IF(O6&gt;=12,"B","C"))))</f>
        <v/>
      </c>
      <c r="Q6" s="11" t="n"/>
      <c r="R6" s="11" t="n"/>
      <c r="S6" s="11">
        <f>IF(R6="","",TODAY()-R6)</f>
        <v/>
      </c>
      <c r="T6" s="11" t="n"/>
      <c r="U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>
        <f>IF(COUNT(J7:N7)=0,"",SUM(J7:N7))</f>
        <v/>
      </c>
      <c r="P7" s="11">
        <f>IF(O7="","",IF(O7&gt;=21,"S",IF(O7&gt;=17,"A",IF(O7&gt;=12,"B","C"))))</f>
        <v/>
      </c>
      <c r="Q7" s="11" t="n"/>
      <c r="R7" s="11" t="n"/>
      <c r="S7" s="11">
        <f>IF(R7="","",TODAY()-R7)</f>
        <v/>
      </c>
      <c r="T7" s="11" t="n"/>
      <c r="U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>
        <f>IF(COUNT(J8:N8)=0,"",SUM(J8:N8))</f>
        <v/>
      </c>
      <c r="P8" s="11">
        <f>IF(O8="","",IF(O8&gt;=21,"S",IF(O8&gt;=17,"A",IF(O8&gt;=12,"B","C"))))</f>
        <v/>
      </c>
      <c r="Q8" s="11" t="n"/>
      <c r="R8" s="11" t="n"/>
      <c r="S8" s="11">
        <f>IF(R8="","",TODAY()-R8)</f>
        <v/>
      </c>
      <c r="T8" s="11" t="n"/>
      <c r="U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>
        <f>IF(COUNT(J9:N9)=0,"",SUM(J9:N9))</f>
        <v/>
      </c>
      <c r="P9" s="11">
        <f>IF(O9="","",IF(O9&gt;=21,"S",IF(O9&gt;=17,"A",IF(O9&gt;=12,"B","C"))))</f>
        <v/>
      </c>
      <c r="Q9" s="11" t="n"/>
      <c r="R9" s="11" t="n"/>
      <c r="S9" s="11">
        <f>IF(R9="","",TODAY()-R9)</f>
        <v/>
      </c>
      <c r="T9" s="11" t="n"/>
      <c r="U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>
        <f>IF(COUNT(J10:N10)=0,"",SUM(J10:N10))</f>
        <v/>
      </c>
      <c r="P10" s="11">
        <f>IF(O10="","",IF(O10&gt;=21,"S",IF(O10&gt;=17,"A",IF(O10&gt;=12,"B","C"))))</f>
        <v/>
      </c>
      <c r="Q10" s="11" t="n"/>
      <c r="R10" s="11" t="n"/>
      <c r="S10" s="11">
        <f>IF(R10="","",TODAY()-R10)</f>
        <v/>
      </c>
      <c r="T10" s="11" t="n"/>
      <c r="U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>
        <f>IF(COUNT(J11:N11)=0,"",SUM(J11:N11))</f>
        <v/>
      </c>
      <c r="P11" s="11">
        <f>IF(O11="","",IF(O11&gt;=21,"S",IF(O11&gt;=17,"A",IF(O11&gt;=12,"B","C"))))</f>
        <v/>
      </c>
      <c r="Q11" s="11" t="n"/>
      <c r="R11" s="11" t="n"/>
      <c r="S11" s="11">
        <f>IF(R11="","",TODAY()-R11)</f>
        <v/>
      </c>
      <c r="T11" s="11" t="n"/>
      <c r="U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>
        <f>IF(COUNT(J12:N12)=0,"",SUM(J12:N12))</f>
        <v/>
      </c>
      <c r="P12" s="11">
        <f>IF(O12="","",IF(O12&gt;=21,"S",IF(O12&gt;=17,"A",IF(O12&gt;=12,"B","C"))))</f>
        <v/>
      </c>
      <c r="Q12" s="11" t="n"/>
      <c r="R12" s="11" t="n"/>
      <c r="S12" s="11">
        <f>IF(R12="","",TODAY()-R12)</f>
        <v/>
      </c>
      <c r="T12" s="11" t="n"/>
      <c r="U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>
        <f>IF(COUNT(J13:N13)=0,"",SUM(J13:N13))</f>
        <v/>
      </c>
      <c r="P13" s="11">
        <f>IF(O13="","",IF(O13&gt;=21,"S",IF(O13&gt;=17,"A",IF(O13&gt;=12,"B","C"))))</f>
        <v/>
      </c>
      <c r="Q13" s="11" t="n"/>
      <c r="R13" s="11" t="n"/>
      <c r="S13" s="11">
        <f>IF(R13="","",TODAY()-R13)</f>
        <v/>
      </c>
      <c r="T13" s="11" t="n"/>
      <c r="U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>
        <f>IF(COUNT(J14:N14)=0,"",SUM(J14:N14))</f>
        <v/>
      </c>
      <c r="P14" s="11">
        <f>IF(O14="","",IF(O14&gt;=21,"S",IF(O14&gt;=17,"A",IF(O14&gt;=12,"B","C"))))</f>
        <v/>
      </c>
      <c r="Q14" s="11" t="n"/>
      <c r="R14" s="11" t="n"/>
      <c r="S14" s="11">
        <f>IF(R14="","",TODAY()-R14)</f>
        <v/>
      </c>
      <c r="T14" s="11" t="n"/>
      <c r="U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>
        <f>IF(COUNT(J15:N15)=0,"",SUM(J15:N15))</f>
        <v/>
      </c>
      <c r="P15" s="11">
        <f>IF(O15="","",IF(O15&gt;=21,"S",IF(O15&gt;=17,"A",IF(O15&gt;=12,"B","C"))))</f>
        <v/>
      </c>
      <c r="Q15" s="11" t="n"/>
      <c r="R15" s="11" t="n"/>
      <c r="S15" s="11">
        <f>IF(R15="","",TODAY()-R15)</f>
        <v/>
      </c>
      <c r="T15" s="11" t="n"/>
      <c r="U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>
        <f>IF(COUNT(J16:N16)=0,"",SUM(J16:N16))</f>
        <v/>
      </c>
      <c r="P16" s="11">
        <f>IF(O16="","",IF(O16&gt;=21,"S",IF(O16&gt;=17,"A",IF(O16&gt;=12,"B","C"))))</f>
        <v/>
      </c>
      <c r="Q16" s="11" t="n"/>
      <c r="R16" s="11" t="n"/>
      <c r="S16" s="11">
        <f>IF(R16="","",TODAY()-R16)</f>
        <v/>
      </c>
      <c r="T16" s="11" t="n"/>
      <c r="U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>
        <f>IF(COUNT(J17:N17)=0,"",SUM(J17:N17))</f>
        <v/>
      </c>
      <c r="P17" s="11">
        <f>IF(O17="","",IF(O17&gt;=21,"S",IF(O17&gt;=17,"A",IF(O17&gt;=12,"B","C"))))</f>
        <v/>
      </c>
      <c r="Q17" s="11" t="n"/>
      <c r="R17" s="11" t="n"/>
      <c r="S17" s="11">
        <f>IF(R17="","",TODAY()-R17)</f>
        <v/>
      </c>
      <c r="T17" s="11" t="n"/>
      <c r="U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>
        <f>IF(COUNT(J18:N18)=0,"",SUM(J18:N18))</f>
        <v/>
      </c>
      <c r="P18" s="11">
        <f>IF(O18="","",IF(O18&gt;=21,"S",IF(O18&gt;=17,"A",IF(O18&gt;=12,"B","C"))))</f>
        <v/>
      </c>
      <c r="Q18" s="11" t="n"/>
      <c r="R18" s="11" t="n"/>
      <c r="S18" s="11">
        <f>IF(R18="","",TODAY()-R18)</f>
        <v/>
      </c>
      <c r="T18" s="11" t="n"/>
      <c r="U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>
        <f>IF(COUNT(J19:N19)=0,"",SUM(J19:N19))</f>
        <v/>
      </c>
      <c r="P19" s="11">
        <f>IF(O19="","",IF(O19&gt;=21,"S",IF(O19&gt;=17,"A",IF(O19&gt;=12,"B","C"))))</f>
        <v/>
      </c>
      <c r="Q19" s="11" t="n"/>
      <c r="R19" s="11" t="n"/>
      <c r="S19" s="11">
        <f>IF(R19="","",TODAY()-R19)</f>
        <v/>
      </c>
      <c r="T19" s="11" t="n"/>
      <c r="U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>
        <f>IF(COUNT(J20:N20)=0,"",SUM(J20:N20))</f>
        <v/>
      </c>
      <c r="P20" s="11">
        <f>IF(O20="","",IF(O20&gt;=21,"S",IF(O20&gt;=17,"A",IF(O20&gt;=12,"B","C"))))</f>
        <v/>
      </c>
      <c r="Q20" s="11" t="n"/>
      <c r="R20" s="11" t="n"/>
      <c r="S20" s="11">
        <f>IF(R20="","",TODAY()-R20)</f>
        <v/>
      </c>
      <c r="T20" s="11" t="n"/>
      <c r="U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>
        <f>IF(COUNT(J21:N21)=0,"",SUM(J21:N21))</f>
        <v/>
      </c>
      <c r="P21" s="11">
        <f>IF(O21="","",IF(O21&gt;=21,"S",IF(O21&gt;=17,"A",IF(O21&gt;=12,"B","C"))))</f>
        <v/>
      </c>
      <c r="Q21" s="11" t="n"/>
      <c r="R21" s="11" t="n"/>
      <c r="S21" s="11">
        <f>IF(R21="","",TODAY()-R21)</f>
        <v/>
      </c>
      <c r="T21" s="11" t="n"/>
      <c r="U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>
        <f>IF(COUNT(J22:N22)=0,"",SUM(J22:N22))</f>
        <v/>
      </c>
      <c r="P22" s="11">
        <f>IF(O22="","",IF(O22&gt;=21,"S",IF(O22&gt;=17,"A",IF(O22&gt;=12,"B","C"))))</f>
        <v/>
      </c>
      <c r="Q22" s="11" t="n"/>
      <c r="R22" s="11" t="n"/>
      <c r="S22" s="11">
        <f>IF(R22="","",TODAY()-R22)</f>
        <v/>
      </c>
      <c r="T22" s="11" t="n"/>
      <c r="U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>
        <f>IF(COUNT(J23:N23)=0,"",SUM(J23:N23))</f>
        <v/>
      </c>
      <c r="P23" s="11">
        <f>IF(O23="","",IF(O23&gt;=21,"S",IF(O23&gt;=17,"A",IF(O23&gt;=12,"B","C"))))</f>
        <v/>
      </c>
      <c r="Q23" s="11" t="n"/>
      <c r="R23" s="11" t="n"/>
      <c r="S23" s="11">
        <f>IF(R23="","",TODAY()-R23)</f>
        <v/>
      </c>
      <c r="T23" s="11" t="n"/>
      <c r="U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>
        <f>IF(COUNT(J24:N24)=0,"",SUM(J24:N24))</f>
        <v/>
      </c>
      <c r="P24" s="11">
        <f>IF(O24="","",IF(O24&gt;=21,"S",IF(O24&gt;=17,"A",IF(O24&gt;=12,"B","C"))))</f>
        <v/>
      </c>
      <c r="Q24" s="11" t="n"/>
      <c r="R24" s="11" t="n"/>
      <c r="S24" s="11">
        <f>IF(R24="","",TODAY()-R24)</f>
        <v/>
      </c>
      <c r="T24" s="11" t="n"/>
      <c r="U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>
        <f>IF(COUNT(J25:N25)=0,"",SUM(J25:N25))</f>
        <v/>
      </c>
      <c r="P25" s="11">
        <f>IF(O25="","",IF(O25&gt;=21,"S",IF(O25&gt;=17,"A",IF(O25&gt;=12,"B","C"))))</f>
        <v/>
      </c>
      <c r="Q25" s="11" t="n"/>
      <c r="R25" s="11" t="n"/>
      <c r="S25" s="11">
        <f>IF(R25="","",TODAY()-R25)</f>
        <v/>
      </c>
      <c r="T25" s="11" t="n"/>
      <c r="U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>
        <f>IF(COUNT(J26:N26)=0,"",SUM(J26:N26))</f>
        <v/>
      </c>
      <c r="P26" s="11">
        <f>IF(O26="","",IF(O26&gt;=21,"S",IF(O26&gt;=17,"A",IF(O26&gt;=12,"B","C"))))</f>
        <v/>
      </c>
      <c r="Q26" s="11" t="n"/>
      <c r="R26" s="11" t="n"/>
      <c r="S26" s="11">
        <f>IF(R26="","",TODAY()-R26)</f>
        <v/>
      </c>
      <c r="T26" s="11" t="n"/>
      <c r="U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>
        <f>IF(COUNT(J27:N27)=0,"",SUM(J27:N27))</f>
        <v/>
      </c>
      <c r="P27" s="11">
        <f>IF(O27="","",IF(O27&gt;=21,"S",IF(O27&gt;=17,"A",IF(O27&gt;=12,"B","C"))))</f>
        <v/>
      </c>
      <c r="Q27" s="11" t="n"/>
      <c r="R27" s="11" t="n"/>
      <c r="S27" s="11">
        <f>IF(R27="","",TODAY()-R27)</f>
        <v/>
      </c>
      <c r="T27" s="11" t="n"/>
      <c r="U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>
        <f>IF(COUNT(J28:N28)=0,"",SUM(J28:N28))</f>
        <v/>
      </c>
      <c r="P28" s="11">
        <f>IF(O28="","",IF(O28&gt;=21,"S",IF(O28&gt;=17,"A",IF(O28&gt;=12,"B","C"))))</f>
        <v/>
      </c>
      <c r="Q28" s="11" t="n"/>
      <c r="R28" s="11" t="n"/>
      <c r="S28" s="11">
        <f>IF(R28="","",TODAY()-R28)</f>
        <v/>
      </c>
      <c r="T28" s="11" t="n"/>
      <c r="U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>
        <f>IF(COUNT(J29:N29)=0,"",SUM(J29:N29))</f>
        <v/>
      </c>
      <c r="P29" s="11">
        <f>IF(O29="","",IF(O29&gt;=21,"S",IF(O29&gt;=17,"A",IF(O29&gt;=12,"B","C"))))</f>
        <v/>
      </c>
      <c r="Q29" s="11" t="n"/>
      <c r="R29" s="11" t="n"/>
      <c r="S29" s="11">
        <f>IF(R29="","",TODAY()-R29)</f>
        <v/>
      </c>
      <c r="T29" s="11" t="n"/>
      <c r="U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>
        <f>IF(COUNT(J30:N30)=0,"",SUM(J30:N30))</f>
        <v/>
      </c>
      <c r="P30" s="11">
        <f>IF(O30="","",IF(O30&gt;=21,"S",IF(O30&gt;=17,"A",IF(O30&gt;=12,"B","C"))))</f>
        <v/>
      </c>
      <c r="Q30" s="11" t="n"/>
      <c r="R30" s="11" t="n"/>
      <c r="S30" s="11">
        <f>IF(R30="","",TODAY()-R30)</f>
        <v/>
      </c>
      <c r="T30" s="11" t="n"/>
      <c r="U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>
        <f>IF(COUNT(J31:N31)=0,"",SUM(J31:N31))</f>
        <v/>
      </c>
      <c r="P31" s="11">
        <f>IF(O31="","",IF(O31&gt;=21,"S",IF(O31&gt;=17,"A",IF(O31&gt;=12,"B","C"))))</f>
        <v/>
      </c>
      <c r="Q31" s="11" t="n"/>
      <c r="R31" s="11" t="n"/>
      <c r="S31" s="11">
        <f>IF(R31="","",TODAY()-R31)</f>
        <v/>
      </c>
      <c r="T31" s="11" t="n"/>
      <c r="U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>
        <f>IF(COUNT(J32:N32)=0,"",SUM(J32:N32))</f>
        <v/>
      </c>
      <c r="P32" s="11">
        <f>IF(O32="","",IF(O32&gt;=21,"S",IF(O32&gt;=17,"A",IF(O32&gt;=12,"B","C"))))</f>
        <v/>
      </c>
      <c r="Q32" s="11" t="n"/>
      <c r="R32" s="11" t="n"/>
      <c r="S32" s="11">
        <f>IF(R32="","",TODAY()-R32)</f>
        <v/>
      </c>
      <c r="T32" s="11" t="n"/>
      <c r="U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>
        <f>IF(COUNT(J33:N33)=0,"",SUM(J33:N33))</f>
        <v/>
      </c>
      <c r="P33" s="11">
        <f>IF(O33="","",IF(O33&gt;=21,"S",IF(O33&gt;=17,"A",IF(O33&gt;=12,"B","C"))))</f>
        <v/>
      </c>
      <c r="Q33" s="11" t="n"/>
      <c r="R33" s="11" t="n"/>
      <c r="S33" s="11">
        <f>IF(R33="","",TODAY()-R33)</f>
        <v/>
      </c>
      <c r="T33" s="11" t="n"/>
      <c r="U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>
        <f>IF(COUNT(J34:N34)=0,"",SUM(J34:N34))</f>
        <v/>
      </c>
      <c r="P34" s="11">
        <f>IF(O34="","",IF(O34&gt;=21,"S",IF(O34&gt;=17,"A",IF(O34&gt;=12,"B","C"))))</f>
        <v/>
      </c>
      <c r="Q34" s="11" t="n"/>
      <c r="R34" s="11" t="n"/>
      <c r="S34" s="11">
        <f>IF(R34="","",TODAY()-R34)</f>
        <v/>
      </c>
      <c r="T34" s="11" t="n"/>
      <c r="U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>
        <f>IF(COUNT(J35:N35)=0,"",SUM(J35:N35))</f>
        <v/>
      </c>
      <c r="P35" s="11">
        <f>IF(O35="","",IF(O35&gt;=21,"S",IF(O35&gt;=17,"A",IF(O35&gt;=12,"B","C"))))</f>
        <v/>
      </c>
      <c r="Q35" s="11" t="n"/>
      <c r="R35" s="11" t="n"/>
      <c r="S35" s="11">
        <f>IF(R35="","",TODAY()-R35)</f>
        <v/>
      </c>
      <c r="T35" s="11" t="n"/>
      <c r="U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>
        <f>IF(COUNT(J36:N36)=0,"",SUM(J36:N36))</f>
        <v/>
      </c>
      <c r="P36" s="11">
        <f>IF(O36="","",IF(O36&gt;=21,"S",IF(O36&gt;=17,"A",IF(O36&gt;=12,"B","C"))))</f>
        <v/>
      </c>
      <c r="Q36" s="11" t="n"/>
      <c r="R36" s="11" t="n"/>
      <c r="S36" s="11">
        <f>IF(R36="","",TODAY()-R36)</f>
        <v/>
      </c>
      <c r="T36" s="11" t="n"/>
      <c r="U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>
        <f>IF(COUNT(J37:N37)=0,"",SUM(J37:N37))</f>
        <v/>
      </c>
      <c r="P37" s="11">
        <f>IF(O37="","",IF(O37&gt;=21,"S",IF(O37&gt;=17,"A",IF(O37&gt;=12,"B","C"))))</f>
        <v/>
      </c>
      <c r="Q37" s="11" t="n"/>
      <c r="R37" s="11" t="n"/>
      <c r="S37" s="11">
        <f>IF(R37="","",TODAY()-R37)</f>
        <v/>
      </c>
      <c r="T37" s="11" t="n"/>
      <c r="U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>
        <f>IF(COUNT(J38:N38)=0,"",SUM(J38:N38))</f>
        <v/>
      </c>
      <c r="P38" s="11">
        <f>IF(O38="","",IF(O38&gt;=21,"S",IF(O38&gt;=17,"A",IF(O38&gt;=12,"B","C"))))</f>
        <v/>
      </c>
      <c r="Q38" s="11" t="n"/>
      <c r="R38" s="11" t="n"/>
      <c r="S38" s="11">
        <f>IF(R38="","",TODAY()-R38)</f>
        <v/>
      </c>
      <c r="T38" s="11" t="n"/>
      <c r="U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>
        <f>IF(COUNT(J39:N39)=0,"",SUM(J39:N39))</f>
        <v/>
      </c>
      <c r="P39" s="11">
        <f>IF(O39="","",IF(O39&gt;=21,"S",IF(O39&gt;=17,"A",IF(O39&gt;=12,"B","C"))))</f>
        <v/>
      </c>
      <c r="Q39" s="11" t="n"/>
      <c r="R39" s="11" t="n"/>
      <c r="S39" s="11">
        <f>IF(R39="","",TODAY()-R39)</f>
        <v/>
      </c>
      <c r="T39" s="11" t="n"/>
      <c r="U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>
        <f>IF(COUNT(J40:N40)=0,"",SUM(J40:N40))</f>
        <v/>
      </c>
      <c r="P40" s="11">
        <f>IF(O40="","",IF(O40&gt;=21,"S",IF(O40&gt;=17,"A",IF(O40&gt;=12,"B","C"))))</f>
        <v/>
      </c>
      <c r="Q40" s="11" t="n"/>
      <c r="R40" s="11" t="n"/>
      <c r="S40" s="11">
        <f>IF(R40="","",TODAY()-R40)</f>
        <v/>
      </c>
      <c r="T40" s="11" t="n"/>
      <c r="U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>
        <f>IF(COUNT(J41:N41)=0,"",SUM(J41:N41))</f>
        <v/>
      </c>
      <c r="P41" s="11">
        <f>IF(O41="","",IF(O41&gt;=21,"S",IF(O41&gt;=17,"A",IF(O41&gt;=12,"B","C"))))</f>
        <v/>
      </c>
      <c r="Q41" s="11" t="n"/>
      <c r="R41" s="11" t="n"/>
      <c r="S41" s="11">
        <f>IF(R41="","",TODAY()-R41)</f>
        <v/>
      </c>
      <c r="T41" s="11" t="n"/>
      <c r="U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>
        <f>IF(COUNT(J42:N42)=0,"",SUM(J42:N42))</f>
        <v/>
      </c>
      <c r="P42" s="11">
        <f>IF(O42="","",IF(O42&gt;=21,"S",IF(O42&gt;=17,"A",IF(O42&gt;=12,"B","C"))))</f>
        <v/>
      </c>
      <c r="Q42" s="11" t="n"/>
      <c r="R42" s="11" t="n"/>
      <c r="S42" s="11">
        <f>IF(R42="","",TODAY()-R42)</f>
        <v/>
      </c>
      <c r="T42" s="11" t="n"/>
      <c r="U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>
        <f>IF(COUNT(J43:N43)=0,"",SUM(J43:N43))</f>
        <v/>
      </c>
      <c r="P43" s="11">
        <f>IF(O43="","",IF(O43&gt;=21,"S",IF(O43&gt;=17,"A",IF(O43&gt;=12,"B","C"))))</f>
        <v/>
      </c>
      <c r="Q43" s="11" t="n"/>
      <c r="R43" s="11" t="n"/>
      <c r="S43" s="11">
        <f>IF(R43="","",TODAY()-R43)</f>
        <v/>
      </c>
      <c r="T43" s="11" t="n"/>
      <c r="U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>
        <f>IF(COUNT(J44:N44)=0,"",SUM(J44:N44))</f>
        <v/>
      </c>
      <c r="P44" s="11">
        <f>IF(O44="","",IF(O44&gt;=21,"S",IF(O44&gt;=17,"A",IF(O44&gt;=12,"B","C"))))</f>
        <v/>
      </c>
      <c r="Q44" s="11" t="n"/>
      <c r="R44" s="11" t="n"/>
      <c r="S44" s="11">
        <f>IF(R44="","",TODAY()-R44)</f>
        <v/>
      </c>
      <c r="T44" s="11" t="n"/>
      <c r="U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>
        <f>IF(COUNT(J45:N45)=0,"",SUM(J45:N45))</f>
        <v/>
      </c>
      <c r="P45" s="11">
        <f>IF(O45="","",IF(O45&gt;=21,"S",IF(O45&gt;=17,"A",IF(O45&gt;=12,"B","C"))))</f>
        <v/>
      </c>
      <c r="Q45" s="11" t="n"/>
      <c r="R45" s="11" t="n"/>
      <c r="S45" s="11">
        <f>IF(R45="","",TODAY()-R45)</f>
        <v/>
      </c>
      <c r="T45" s="11" t="n"/>
      <c r="U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>
        <f>IF(COUNT(J46:N46)=0,"",SUM(J46:N46))</f>
        <v/>
      </c>
      <c r="P46" s="11">
        <f>IF(O46="","",IF(O46&gt;=21,"S",IF(O46&gt;=17,"A",IF(O46&gt;=12,"B","C"))))</f>
        <v/>
      </c>
      <c r="Q46" s="11" t="n"/>
      <c r="R46" s="11" t="n"/>
      <c r="S46" s="11">
        <f>IF(R46="","",TODAY()-R46)</f>
        <v/>
      </c>
      <c r="T46" s="11" t="n"/>
      <c r="U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>
        <f>IF(COUNT(J47:N47)=0,"",SUM(J47:N47))</f>
        <v/>
      </c>
      <c r="P47" s="11">
        <f>IF(O47="","",IF(O47&gt;=21,"S",IF(O47&gt;=17,"A",IF(O47&gt;=12,"B","C"))))</f>
        <v/>
      </c>
      <c r="Q47" s="11" t="n"/>
      <c r="R47" s="11" t="n"/>
      <c r="S47" s="11">
        <f>IF(R47="","",TODAY()-R47)</f>
        <v/>
      </c>
      <c r="T47" s="11" t="n"/>
      <c r="U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>
        <f>IF(COUNT(J48:N48)=0,"",SUM(J48:N48))</f>
        <v/>
      </c>
      <c r="P48" s="11">
        <f>IF(O48="","",IF(O48&gt;=21,"S",IF(O48&gt;=17,"A",IF(O48&gt;=12,"B","C"))))</f>
        <v/>
      </c>
      <c r="Q48" s="11" t="n"/>
      <c r="R48" s="11" t="n"/>
      <c r="S48" s="11">
        <f>IF(R48="","",TODAY()-R48)</f>
        <v/>
      </c>
      <c r="T48" s="11" t="n"/>
      <c r="U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>
        <f>IF(COUNT(J49:N49)=0,"",SUM(J49:N49))</f>
        <v/>
      </c>
      <c r="P49" s="11">
        <f>IF(O49="","",IF(O49&gt;=21,"S",IF(O49&gt;=17,"A",IF(O49&gt;=12,"B","C"))))</f>
        <v/>
      </c>
      <c r="Q49" s="11" t="n"/>
      <c r="R49" s="11" t="n"/>
      <c r="S49" s="11">
        <f>IF(R49="","",TODAY()-R49)</f>
        <v/>
      </c>
      <c r="T49" s="11" t="n"/>
      <c r="U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>
        <f>IF(COUNT(J50:N50)=0,"",SUM(J50:N50))</f>
        <v/>
      </c>
      <c r="P50" s="11">
        <f>IF(O50="","",IF(O50&gt;=21,"S",IF(O50&gt;=17,"A",IF(O50&gt;=12,"B","C"))))</f>
        <v/>
      </c>
      <c r="Q50" s="11" t="n"/>
      <c r="R50" s="11" t="n"/>
      <c r="S50" s="11">
        <f>IF(R50="","",TODAY()-R50)</f>
        <v/>
      </c>
      <c r="T50" s="11" t="n"/>
      <c r="U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>
        <f>IF(COUNT(J51:N51)=0,"",SUM(J51:N51))</f>
        <v/>
      </c>
      <c r="P51" s="11">
        <f>IF(O51="","",IF(O51&gt;=21,"S",IF(O51&gt;=17,"A",IF(O51&gt;=12,"B","C"))))</f>
        <v/>
      </c>
      <c r="Q51" s="11" t="n"/>
      <c r="R51" s="11" t="n"/>
      <c r="S51" s="11">
        <f>IF(R51="","",TODAY()-R51)</f>
        <v/>
      </c>
      <c r="T51" s="11" t="n"/>
      <c r="U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>
        <f>IF(COUNT(J52:N52)=0,"",SUM(J52:N52))</f>
        <v/>
      </c>
      <c r="P52" s="11">
        <f>IF(O52="","",IF(O52&gt;=21,"S",IF(O52&gt;=17,"A",IF(O52&gt;=12,"B","C"))))</f>
        <v/>
      </c>
      <c r="Q52" s="11" t="n"/>
      <c r="R52" s="11" t="n"/>
      <c r="S52" s="11">
        <f>IF(R52="","",TODAY()-R52)</f>
        <v/>
      </c>
      <c r="T52" s="11" t="n"/>
      <c r="U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>
        <f>IF(COUNT(J53:N53)=0,"",SUM(J53:N53))</f>
        <v/>
      </c>
      <c r="P53" s="11">
        <f>IF(O53="","",IF(O53&gt;=21,"S",IF(O53&gt;=17,"A",IF(O53&gt;=12,"B","C"))))</f>
        <v/>
      </c>
      <c r="Q53" s="11" t="n"/>
      <c r="R53" s="11" t="n"/>
      <c r="S53" s="11">
        <f>IF(R53="","",TODAY()-R53)</f>
        <v/>
      </c>
      <c r="T53" s="11" t="n"/>
      <c r="U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>
        <f>IF(COUNT(J54:N54)=0,"",SUM(J54:N54))</f>
        <v/>
      </c>
      <c r="P54" s="11">
        <f>IF(O54="","",IF(O54&gt;=21,"S",IF(O54&gt;=17,"A",IF(O54&gt;=12,"B","C"))))</f>
        <v/>
      </c>
      <c r="Q54" s="11" t="n"/>
      <c r="R54" s="11" t="n"/>
      <c r="S54" s="11">
        <f>IF(R54="","",TODAY()-R54)</f>
        <v/>
      </c>
      <c r="T54" s="11" t="n"/>
      <c r="U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>
        <f>IF(COUNT(J55:N55)=0,"",SUM(J55:N55))</f>
        <v/>
      </c>
      <c r="P55" s="11">
        <f>IF(O55="","",IF(O55&gt;=21,"S",IF(O55&gt;=17,"A",IF(O55&gt;=12,"B","C"))))</f>
        <v/>
      </c>
      <c r="Q55" s="11" t="n"/>
      <c r="R55" s="11" t="n"/>
      <c r="S55" s="11">
        <f>IF(R55="","",TODAY()-R55)</f>
        <v/>
      </c>
      <c r="T55" s="11" t="n"/>
      <c r="U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>
        <f>IF(COUNT(J56:N56)=0,"",SUM(J56:N56))</f>
        <v/>
      </c>
      <c r="P56" s="11">
        <f>IF(O56="","",IF(O56&gt;=21,"S",IF(O56&gt;=17,"A",IF(O56&gt;=12,"B","C"))))</f>
        <v/>
      </c>
      <c r="Q56" s="11" t="n"/>
      <c r="R56" s="11" t="n"/>
      <c r="S56" s="11">
        <f>IF(R56="","",TODAY()-R56)</f>
        <v/>
      </c>
      <c r="T56" s="11" t="n"/>
      <c r="U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>
        <f>IF(COUNT(J57:N57)=0,"",SUM(J57:N57))</f>
        <v/>
      </c>
      <c r="P57" s="11">
        <f>IF(O57="","",IF(O57&gt;=21,"S",IF(O57&gt;=17,"A",IF(O57&gt;=12,"B","C"))))</f>
        <v/>
      </c>
      <c r="Q57" s="11" t="n"/>
      <c r="R57" s="11" t="n"/>
      <c r="S57" s="11">
        <f>IF(R57="","",TODAY()-R57)</f>
        <v/>
      </c>
      <c r="T57" s="11" t="n"/>
      <c r="U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>
        <f>IF(COUNT(J58:N58)=0,"",SUM(J58:N58))</f>
        <v/>
      </c>
      <c r="P58" s="11">
        <f>IF(O58="","",IF(O58&gt;=21,"S",IF(O58&gt;=17,"A",IF(O58&gt;=12,"B","C"))))</f>
        <v/>
      </c>
      <c r="Q58" s="11" t="n"/>
      <c r="R58" s="11" t="n"/>
      <c r="S58" s="11">
        <f>IF(R58="","",TODAY()-R58)</f>
        <v/>
      </c>
      <c r="T58" s="11" t="n"/>
      <c r="U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>
        <f>IF(COUNT(J59:N59)=0,"",SUM(J59:N59))</f>
        <v/>
      </c>
      <c r="P59" s="11">
        <f>IF(O59="","",IF(O59&gt;=21,"S",IF(O59&gt;=17,"A",IF(O59&gt;=12,"B","C"))))</f>
        <v/>
      </c>
      <c r="Q59" s="11" t="n"/>
      <c r="R59" s="11" t="n"/>
      <c r="S59" s="11">
        <f>IF(R59="","",TODAY()-R59)</f>
        <v/>
      </c>
      <c r="T59" s="11" t="n"/>
      <c r="U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>
        <f>IF(COUNT(J60:N60)=0,"",SUM(J60:N60))</f>
        <v/>
      </c>
      <c r="P60" s="11">
        <f>IF(O60="","",IF(O60&gt;=21,"S",IF(O60&gt;=17,"A",IF(O60&gt;=12,"B","C"))))</f>
        <v/>
      </c>
      <c r="Q60" s="11" t="n"/>
      <c r="R60" s="11" t="n"/>
      <c r="S60" s="11">
        <f>IF(R60="","",TODAY()-R60)</f>
        <v/>
      </c>
      <c r="T60" s="11" t="n"/>
      <c r="U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>
        <f>IF(COUNT(J61:N61)=0,"",SUM(J61:N61))</f>
        <v/>
      </c>
      <c r="P61" s="11">
        <f>IF(O61="","",IF(O61&gt;=21,"S",IF(O61&gt;=17,"A",IF(O61&gt;=12,"B","C"))))</f>
        <v/>
      </c>
      <c r="Q61" s="11" t="n"/>
      <c r="R61" s="11" t="n"/>
      <c r="S61" s="11">
        <f>IF(R61="","",TODAY()-R61)</f>
        <v/>
      </c>
      <c r="T61" s="11" t="n"/>
      <c r="U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>
        <f>IF(COUNT(J62:N62)=0,"",SUM(J62:N62))</f>
        <v/>
      </c>
      <c r="P62" s="11">
        <f>IF(O62="","",IF(O62&gt;=21,"S",IF(O62&gt;=17,"A",IF(O62&gt;=12,"B","C"))))</f>
        <v/>
      </c>
      <c r="Q62" s="11" t="n"/>
      <c r="R62" s="11" t="n"/>
      <c r="S62" s="11">
        <f>IF(R62="","",TODAY()-R62)</f>
        <v/>
      </c>
      <c r="T62" s="11" t="n"/>
      <c r="U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>
        <f>IF(COUNT(J63:N63)=0,"",SUM(J63:N63))</f>
        <v/>
      </c>
      <c r="P63" s="11">
        <f>IF(O63="","",IF(O63&gt;=21,"S",IF(O63&gt;=17,"A",IF(O63&gt;=12,"B","C"))))</f>
        <v/>
      </c>
      <c r="Q63" s="11" t="n"/>
      <c r="R63" s="11" t="n"/>
      <c r="S63" s="11">
        <f>IF(R63="","",TODAY()-R63)</f>
        <v/>
      </c>
      <c r="T63" s="11" t="n"/>
      <c r="U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>
        <f>IF(COUNT(J64:N64)=0,"",SUM(J64:N64))</f>
        <v/>
      </c>
      <c r="P64" s="11">
        <f>IF(O64="","",IF(O64&gt;=21,"S",IF(O64&gt;=17,"A",IF(O64&gt;=12,"B","C"))))</f>
        <v/>
      </c>
      <c r="Q64" s="11" t="n"/>
      <c r="R64" s="11" t="n"/>
      <c r="S64" s="11">
        <f>IF(R64="","",TODAY()-R64)</f>
        <v/>
      </c>
      <c r="T64" s="11" t="n"/>
      <c r="U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>
        <f>IF(COUNT(J65:N65)=0,"",SUM(J65:N65))</f>
        <v/>
      </c>
      <c r="P65" s="11">
        <f>IF(O65="","",IF(O65&gt;=21,"S",IF(O65&gt;=17,"A",IF(O65&gt;=12,"B","C"))))</f>
        <v/>
      </c>
      <c r="Q65" s="11" t="n"/>
      <c r="R65" s="11" t="n"/>
      <c r="S65" s="11">
        <f>IF(R65="","",TODAY()-R65)</f>
        <v/>
      </c>
      <c r="T65" s="11" t="n"/>
      <c r="U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>
        <f>IF(COUNT(J66:N66)=0,"",SUM(J66:N66))</f>
        <v/>
      </c>
      <c r="P66" s="11">
        <f>IF(O66="","",IF(O66&gt;=21,"S",IF(O66&gt;=17,"A",IF(O66&gt;=12,"B","C"))))</f>
        <v/>
      </c>
      <c r="Q66" s="11" t="n"/>
      <c r="R66" s="11" t="n"/>
      <c r="S66" s="11">
        <f>IF(R66="","",TODAY()-R66)</f>
        <v/>
      </c>
      <c r="T66" s="11" t="n"/>
      <c r="U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>
        <f>IF(COUNT(J67:N67)=0,"",SUM(J67:N67))</f>
        <v/>
      </c>
      <c r="P67" s="11">
        <f>IF(O67="","",IF(O67&gt;=21,"S",IF(O67&gt;=17,"A",IF(O67&gt;=12,"B","C"))))</f>
        <v/>
      </c>
      <c r="Q67" s="11" t="n"/>
      <c r="R67" s="11" t="n"/>
      <c r="S67" s="11">
        <f>IF(R67="","",TODAY()-R67)</f>
        <v/>
      </c>
      <c r="T67" s="11" t="n"/>
      <c r="U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>
        <f>IF(COUNT(J68:N68)=0,"",SUM(J68:N68))</f>
        <v/>
      </c>
      <c r="P68" s="11">
        <f>IF(O68="","",IF(O68&gt;=21,"S",IF(O68&gt;=17,"A",IF(O68&gt;=12,"B","C"))))</f>
        <v/>
      </c>
      <c r="Q68" s="11" t="n"/>
      <c r="R68" s="11" t="n"/>
      <c r="S68" s="11">
        <f>IF(R68="","",TODAY()-R68)</f>
        <v/>
      </c>
      <c r="T68" s="11" t="n"/>
      <c r="U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>
        <f>IF(COUNT(J69:N69)=0,"",SUM(J69:N69))</f>
        <v/>
      </c>
      <c r="P69" s="11">
        <f>IF(O69="","",IF(O69&gt;=21,"S",IF(O69&gt;=17,"A",IF(O69&gt;=12,"B","C"))))</f>
        <v/>
      </c>
      <c r="Q69" s="11" t="n"/>
      <c r="R69" s="11" t="n"/>
      <c r="S69" s="11">
        <f>IF(R69="","",TODAY()-R69)</f>
        <v/>
      </c>
      <c r="T69" s="11" t="n"/>
      <c r="U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>
        <f>IF(COUNT(J70:N70)=0,"",SUM(J70:N70))</f>
        <v/>
      </c>
      <c r="P70" s="11">
        <f>IF(O70="","",IF(O70&gt;=21,"S",IF(O70&gt;=17,"A",IF(O70&gt;=12,"B","C"))))</f>
        <v/>
      </c>
      <c r="Q70" s="11" t="n"/>
      <c r="R70" s="11" t="n"/>
      <c r="S70" s="11">
        <f>IF(R70="","",TODAY()-R70)</f>
        <v/>
      </c>
      <c r="T70" s="11" t="n"/>
      <c r="U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>
        <f>IF(COUNT(J71:N71)=0,"",SUM(J71:N71))</f>
        <v/>
      </c>
      <c r="P71" s="11">
        <f>IF(O71="","",IF(O71&gt;=21,"S",IF(O71&gt;=17,"A",IF(O71&gt;=12,"B","C"))))</f>
        <v/>
      </c>
      <c r="Q71" s="11" t="n"/>
      <c r="R71" s="11" t="n"/>
      <c r="S71" s="11">
        <f>IF(R71="","",TODAY()-R71)</f>
        <v/>
      </c>
      <c r="T71" s="11" t="n"/>
      <c r="U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>
        <f>IF(COUNT(J72:N72)=0,"",SUM(J72:N72))</f>
        <v/>
      </c>
      <c r="P72" s="11">
        <f>IF(O72="","",IF(O72&gt;=21,"S",IF(O72&gt;=17,"A",IF(O72&gt;=12,"B","C"))))</f>
        <v/>
      </c>
      <c r="Q72" s="11" t="n"/>
      <c r="R72" s="11" t="n"/>
      <c r="S72" s="11">
        <f>IF(R72="","",TODAY()-R72)</f>
        <v/>
      </c>
      <c r="T72" s="11" t="n"/>
      <c r="U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>
        <f>IF(COUNT(J73:N73)=0,"",SUM(J73:N73))</f>
        <v/>
      </c>
      <c r="P73" s="11">
        <f>IF(O73="","",IF(O73&gt;=21,"S",IF(O73&gt;=17,"A",IF(O73&gt;=12,"B","C"))))</f>
        <v/>
      </c>
      <c r="Q73" s="11" t="n"/>
      <c r="R73" s="11" t="n"/>
      <c r="S73" s="11">
        <f>IF(R73="","",TODAY()-R73)</f>
        <v/>
      </c>
      <c r="T73" s="11" t="n"/>
      <c r="U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>
        <f>IF(COUNT(J74:N74)=0,"",SUM(J74:N74))</f>
        <v/>
      </c>
      <c r="P74" s="11">
        <f>IF(O74="","",IF(O74&gt;=21,"S",IF(O74&gt;=17,"A",IF(O74&gt;=12,"B","C"))))</f>
        <v/>
      </c>
      <c r="Q74" s="11" t="n"/>
      <c r="R74" s="11" t="n"/>
      <c r="S74" s="11">
        <f>IF(R74="","",TODAY()-R74)</f>
        <v/>
      </c>
      <c r="T74" s="11" t="n"/>
      <c r="U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>
        <f>IF(COUNT(J75:N75)=0,"",SUM(J75:N75))</f>
        <v/>
      </c>
      <c r="P75" s="11">
        <f>IF(O75="","",IF(O75&gt;=21,"S",IF(O75&gt;=17,"A",IF(O75&gt;=12,"B","C"))))</f>
        <v/>
      </c>
      <c r="Q75" s="11" t="n"/>
      <c r="R75" s="11" t="n"/>
      <c r="S75" s="11">
        <f>IF(R75="","",TODAY()-R75)</f>
        <v/>
      </c>
      <c r="T75" s="11" t="n"/>
      <c r="U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>
        <f>IF(COUNT(J76:N76)=0,"",SUM(J76:N76))</f>
        <v/>
      </c>
      <c r="P76" s="11">
        <f>IF(O76="","",IF(O76&gt;=21,"S",IF(O76&gt;=17,"A",IF(O76&gt;=12,"B","C"))))</f>
        <v/>
      </c>
      <c r="Q76" s="11" t="n"/>
      <c r="R76" s="11" t="n"/>
      <c r="S76" s="11">
        <f>IF(R76="","",TODAY()-R76)</f>
        <v/>
      </c>
      <c r="T76" s="11" t="n"/>
      <c r="U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>
        <f>IF(COUNT(J77:N77)=0,"",SUM(J77:N77))</f>
        <v/>
      </c>
      <c r="P77" s="11">
        <f>IF(O77="","",IF(O77&gt;=21,"S",IF(O77&gt;=17,"A",IF(O77&gt;=12,"B","C"))))</f>
        <v/>
      </c>
      <c r="Q77" s="11" t="n"/>
      <c r="R77" s="11" t="n"/>
      <c r="S77" s="11">
        <f>IF(R77="","",TODAY()-R77)</f>
        <v/>
      </c>
      <c r="T77" s="11" t="n"/>
      <c r="U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>
        <f>IF(COUNT(J78:N78)=0,"",SUM(J78:N78))</f>
        <v/>
      </c>
      <c r="P78" s="11">
        <f>IF(O78="","",IF(O78&gt;=21,"S",IF(O78&gt;=17,"A",IF(O78&gt;=12,"B","C"))))</f>
        <v/>
      </c>
      <c r="Q78" s="11" t="n"/>
      <c r="R78" s="11" t="n"/>
      <c r="S78" s="11">
        <f>IF(R78="","",TODAY()-R78)</f>
        <v/>
      </c>
      <c r="T78" s="11" t="n"/>
      <c r="U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>
        <f>IF(COUNT(J79:N79)=0,"",SUM(J79:N79))</f>
        <v/>
      </c>
      <c r="P79" s="11">
        <f>IF(O79="","",IF(O79&gt;=21,"S",IF(O79&gt;=17,"A",IF(O79&gt;=12,"B","C"))))</f>
        <v/>
      </c>
      <c r="Q79" s="11" t="n"/>
      <c r="R79" s="11" t="n"/>
      <c r="S79" s="11">
        <f>IF(R79="","",TODAY()-R79)</f>
        <v/>
      </c>
      <c r="T79" s="11" t="n"/>
      <c r="U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>
        <f>IF(COUNT(J80:N80)=0,"",SUM(J80:N80))</f>
        <v/>
      </c>
      <c r="P80" s="11">
        <f>IF(O80="","",IF(O80&gt;=21,"S",IF(O80&gt;=17,"A",IF(O80&gt;=12,"B","C"))))</f>
        <v/>
      </c>
      <c r="Q80" s="11" t="n"/>
      <c r="R80" s="11" t="n"/>
      <c r="S80" s="11">
        <f>IF(R80="","",TODAY()-R80)</f>
        <v/>
      </c>
      <c r="T80" s="11" t="n"/>
      <c r="U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>
        <f>IF(COUNT(J81:N81)=0,"",SUM(J81:N81))</f>
        <v/>
      </c>
      <c r="P81" s="11">
        <f>IF(O81="","",IF(O81&gt;=21,"S",IF(O81&gt;=17,"A",IF(O81&gt;=12,"B","C"))))</f>
        <v/>
      </c>
      <c r="Q81" s="11" t="n"/>
      <c r="R81" s="11" t="n"/>
      <c r="S81" s="11">
        <f>IF(R81="","",TODAY()-R81)</f>
        <v/>
      </c>
      <c r="T81" s="11" t="n"/>
      <c r="U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>
        <f>IF(COUNT(J82:N82)=0,"",SUM(J82:N82))</f>
        <v/>
      </c>
      <c r="P82" s="11">
        <f>IF(O82="","",IF(O82&gt;=21,"S",IF(O82&gt;=17,"A",IF(O82&gt;=12,"B","C"))))</f>
        <v/>
      </c>
      <c r="Q82" s="11" t="n"/>
      <c r="R82" s="11" t="n"/>
      <c r="S82" s="11">
        <f>IF(R82="","",TODAY()-R82)</f>
        <v/>
      </c>
      <c r="T82" s="11" t="n"/>
      <c r="U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>
        <f>IF(COUNT(J83:N83)=0,"",SUM(J83:N83))</f>
        <v/>
      </c>
      <c r="P83" s="11">
        <f>IF(O83="","",IF(O83&gt;=21,"S",IF(O83&gt;=17,"A",IF(O83&gt;=12,"B","C"))))</f>
        <v/>
      </c>
      <c r="Q83" s="11" t="n"/>
      <c r="R83" s="11" t="n"/>
      <c r="S83" s="11">
        <f>IF(R83="","",TODAY()-R83)</f>
        <v/>
      </c>
      <c r="T83" s="11" t="n"/>
      <c r="U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>
        <f>IF(COUNT(J84:N84)=0,"",SUM(J84:N84))</f>
        <v/>
      </c>
      <c r="P84" s="11">
        <f>IF(O84="","",IF(O84&gt;=21,"S",IF(O84&gt;=17,"A",IF(O84&gt;=12,"B","C"))))</f>
        <v/>
      </c>
      <c r="Q84" s="11" t="n"/>
      <c r="R84" s="11" t="n"/>
      <c r="S84" s="11">
        <f>IF(R84="","",TODAY()-R84)</f>
        <v/>
      </c>
      <c r="T84" s="11" t="n"/>
      <c r="U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>
        <f>IF(COUNT(J85:N85)=0,"",SUM(J85:N85))</f>
        <v/>
      </c>
      <c r="P85" s="11">
        <f>IF(O85="","",IF(O85&gt;=21,"S",IF(O85&gt;=17,"A",IF(O85&gt;=12,"B","C"))))</f>
        <v/>
      </c>
      <c r="Q85" s="11" t="n"/>
      <c r="R85" s="11" t="n"/>
      <c r="S85" s="11">
        <f>IF(R85="","",TODAY()-R85)</f>
        <v/>
      </c>
      <c r="T85" s="11" t="n"/>
      <c r="U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>
        <f>IF(COUNT(J86:N86)=0,"",SUM(J86:N86))</f>
        <v/>
      </c>
      <c r="P86" s="11">
        <f>IF(O86="","",IF(O86&gt;=21,"S",IF(O86&gt;=17,"A",IF(O86&gt;=12,"B","C"))))</f>
        <v/>
      </c>
      <c r="Q86" s="11" t="n"/>
      <c r="R86" s="11" t="n"/>
      <c r="S86" s="11">
        <f>IF(R86="","",TODAY()-R86)</f>
        <v/>
      </c>
      <c r="T86" s="11" t="n"/>
      <c r="U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>
        <f>IF(COUNT(J87:N87)=0,"",SUM(J87:N87))</f>
        <v/>
      </c>
      <c r="P87" s="11">
        <f>IF(O87="","",IF(O87&gt;=21,"S",IF(O87&gt;=17,"A",IF(O87&gt;=12,"B","C"))))</f>
        <v/>
      </c>
      <c r="Q87" s="11" t="n"/>
      <c r="R87" s="11" t="n"/>
      <c r="S87" s="11">
        <f>IF(R87="","",TODAY()-R87)</f>
        <v/>
      </c>
      <c r="T87" s="11" t="n"/>
      <c r="U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>
        <f>IF(COUNT(J88:N88)=0,"",SUM(J88:N88))</f>
        <v/>
      </c>
      <c r="P88" s="11">
        <f>IF(O88="","",IF(O88&gt;=21,"S",IF(O88&gt;=17,"A",IF(O88&gt;=12,"B","C"))))</f>
        <v/>
      </c>
      <c r="Q88" s="11" t="n"/>
      <c r="R88" s="11" t="n"/>
      <c r="S88" s="11">
        <f>IF(R88="","",TODAY()-R88)</f>
        <v/>
      </c>
      <c r="T88" s="11" t="n"/>
      <c r="U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>
        <f>IF(COUNT(J89:N89)=0,"",SUM(J89:N89))</f>
        <v/>
      </c>
      <c r="P89" s="11">
        <f>IF(O89="","",IF(O89&gt;=21,"S",IF(O89&gt;=17,"A",IF(O89&gt;=12,"B","C"))))</f>
        <v/>
      </c>
      <c r="Q89" s="11" t="n"/>
      <c r="R89" s="11" t="n"/>
      <c r="S89" s="11">
        <f>IF(R89="","",TODAY()-R89)</f>
        <v/>
      </c>
      <c r="T89" s="11" t="n"/>
      <c r="U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>
        <f>IF(COUNT(J90:N90)=0,"",SUM(J90:N90))</f>
        <v/>
      </c>
      <c r="P90" s="11">
        <f>IF(O90="","",IF(O90&gt;=21,"S",IF(O90&gt;=17,"A",IF(O90&gt;=12,"B","C"))))</f>
        <v/>
      </c>
      <c r="Q90" s="11" t="n"/>
      <c r="R90" s="11" t="n"/>
      <c r="S90" s="11">
        <f>IF(R90="","",TODAY()-R90)</f>
        <v/>
      </c>
      <c r="T90" s="11" t="n"/>
      <c r="U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>
        <f>IF(COUNT(J91:N91)=0,"",SUM(J91:N91))</f>
        <v/>
      </c>
      <c r="P91" s="11">
        <f>IF(O91="","",IF(O91&gt;=21,"S",IF(O91&gt;=17,"A",IF(O91&gt;=12,"B","C"))))</f>
        <v/>
      </c>
      <c r="Q91" s="11" t="n"/>
      <c r="R91" s="11" t="n"/>
      <c r="S91" s="11">
        <f>IF(R91="","",TODAY()-R91)</f>
        <v/>
      </c>
      <c r="T91" s="11" t="n"/>
      <c r="U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>
        <f>IF(COUNT(J92:N92)=0,"",SUM(J92:N92))</f>
        <v/>
      </c>
      <c r="P92" s="11">
        <f>IF(O92="","",IF(O92&gt;=21,"S",IF(O92&gt;=17,"A",IF(O92&gt;=12,"B","C"))))</f>
        <v/>
      </c>
      <c r="Q92" s="11" t="n"/>
      <c r="R92" s="11" t="n"/>
      <c r="S92" s="11">
        <f>IF(R92="","",TODAY()-R92)</f>
        <v/>
      </c>
      <c r="T92" s="11" t="n"/>
      <c r="U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>
        <f>IF(COUNT(J93:N93)=0,"",SUM(J93:N93))</f>
        <v/>
      </c>
      <c r="P93" s="11">
        <f>IF(O93="","",IF(O93&gt;=21,"S",IF(O93&gt;=17,"A",IF(O93&gt;=12,"B","C"))))</f>
        <v/>
      </c>
      <c r="Q93" s="11" t="n"/>
      <c r="R93" s="11" t="n"/>
      <c r="S93" s="11">
        <f>IF(R93="","",TODAY()-R93)</f>
        <v/>
      </c>
      <c r="T93" s="11" t="n"/>
      <c r="U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>
        <f>IF(COUNT(J94:N94)=0,"",SUM(J94:N94))</f>
        <v/>
      </c>
      <c r="P94" s="11">
        <f>IF(O94="","",IF(O94&gt;=21,"S",IF(O94&gt;=17,"A",IF(O94&gt;=12,"B","C"))))</f>
        <v/>
      </c>
      <c r="Q94" s="11" t="n"/>
      <c r="R94" s="11" t="n"/>
      <c r="S94" s="11">
        <f>IF(R94="","",TODAY()-R94)</f>
        <v/>
      </c>
      <c r="T94" s="11" t="n"/>
      <c r="U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>
        <f>IF(COUNT(J95:N95)=0,"",SUM(J95:N95))</f>
        <v/>
      </c>
      <c r="P95" s="11">
        <f>IF(O95="","",IF(O95&gt;=21,"S",IF(O95&gt;=17,"A",IF(O95&gt;=12,"B","C"))))</f>
        <v/>
      </c>
      <c r="Q95" s="11" t="n"/>
      <c r="R95" s="11" t="n"/>
      <c r="S95" s="11">
        <f>IF(R95="","",TODAY()-R95)</f>
        <v/>
      </c>
      <c r="T95" s="11" t="n"/>
      <c r="U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>
        <f>IF(COUNT(J96:N96)=0,"",SUM(J96:N96))</f>
        <v/>
      </c>
      <c r="P96" s="11">
        <f>IF(O96="","",IF(O96&gt;=21,"S",IF(O96&gt;=17,"A",IF(O96&gt;=12,"B","C"))))</f>
        <v/>
      </c>
      <c r="Q96" s="11" t="n"/>
      <c r="R96" s="11" t="n"/>
      <c r="S96" s="11">
        <f>IF(R96="","",TODAY()-R96)</f>
        <v/>
      </c>
      <c r="T96" s="11" t="n"/>
      <c r="U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>
        <f>IF(COUNT(J97:N97)=0,"",SUM(J97:N97))</f>
        <v/>
      </c>
      <c r="P97" s="11">
        <f>IF(O97="","",IF(O97&gt;=21,"S",IF(O97&gt;=17,"A",IF(O97&gt;=12,"B","C"))))</f>
        <v/>
      </c>
      <c r="Q97" s="11" t="n"/>
      <c r="R97" s="11" t="n"/>
      <c r="S97" s="11">
        <f>IF(R97="","",TODAY()-R97)</f>
        <v/>
      </c>
      <c r="T97" s="11" t="n"/>
      <c r="U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>
        <f>IF(COUNT(J98:N98)=0,"",SUM(J98:N98))</f>
        <v/>
      </c>
      <c r="P98" s="11">
        <f>IF(O98="","",IF(O98&gt;=21,"S",IF(O98&gt;=17,"A",IF(O98&gt;=12,"B","C"))))</f>
        <v/>
      </c>
      <c r="Q98" s="11" t="n"/>
      <c r="R98" s="11" t="n"/>
      <c r="S98" s="11">
        <f>IF(R98="","",TODAY()-R98)</f>
        <v/>
      </c>
      <c r="T98" s="11" t="n"/>
      <c r="U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>
        <f>IF(COUNT(J99:N99)=0,"",SUM(J99:N99))</f>
        <v/>
      </c>
      <c r="P99" s="11">
        <f>IF(O99="","",IF(O99&gt;=21,"S",IF(O99&gt;=17,"A",IF(O99&gt;=12,"B","C"))))</f>
        <v/>
      </c>
      <c r="Q99" s="11" t="n"/>
      <c r="R99" s="11" t="n"/>
      <c r="S99" s="11">
        <f>IF(R99="","",TODAY()-R99)</f>
        <v/>
      </c>
      <c r="T99" s="11" t="n"/>
      <c r="U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>
        <f>IF(COUNT(J100:N100)=0,"",SUM(J100:N100))</f>
        <v/>
      </c>
      <c r="P100" s="11">
        <f>IF(O100="","",IF(O100&gt;=21,"S",IF(O100&gt;=17,"A",IF(O100&gt;=12,"B","C"))))</f>
        <v/>
      </c>
      <c r="Q100" s="11" t="n"/>
      <c r="R100" s="11" t="n"/>
      <c r="S100" s="11">
        <f>IF(R100="","",TODAY()-R100)</f>
        <v/>
      </c>
      <c r="T100" s="11" t="n"/>
      <c r="U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>
        <f>IF(COUNT(J101:N101)=0,"",SUM(J101:N101))</f>
        <v/>
      </c>
      <c r="P101" s="11">
        <f>IF(O101="","",IF(O101&gt;=21,"S",IF(O101&gt;=17,"A",IF(O101&gt;=12,"B","C"))))</f>
        <v/>
      </c>
      <c r="Q101" s="11" t="n"/>
      <c r="R101" s="11" t="n"/>
      <c r="S101" s="11">
        <f>IF(R101="","",TODAY()-R101)</f>
        <v/>
      </c>
      <c r="T101" s="11" t="n"/>
      <c r="U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>
        <f>IF(COUNT(J102:N102)=0,"",SUM(J102:N102))</f>
        <v/>
      </c>
      <c r="P102" s="11">
        <f>IF(O102="","",IF(O102&gt;=21,"S",IF(O102&gt;=17,"A",IF(O102&gt;=12,"B","C"))))</f>
        <v/>
      </c>
      <c r="Q102" s="11" t="n"/>
      <c r="R102" s="11" t="n"/>
      <c r="S102" s="11">
        <f>IF(R102="","",TODAY()-R102)</f>
        <v/>
      </c>
      <c r="T102" s="11" t="n"/>
      <c r="U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>
        <f>IF(COUNT(J103:N103)=0,"",SUM(J103:N103))</f>
        <v/>
      </c>
      <c r="P103" s="11">
        <f>IF(O103="","",IF(O103&gt;=21,"S",IF(O103&gt;=17,"A",IF(O103&gt;=12,"B","C"))))</f>
        <v/>
      </c>
      <c r="Q103" s="11" t="n"/>
      <c r="R103" s="11" t="n"/>
      <c r="S103" s="11">
        <f>IF(R103="","",TODAY()-R103)</f>
        <v/>
      </c>
      <c r="T103" s="11" t="n"/>
      <c r="U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>
        <f>IF(COUNT(J104:N104)=0,"",SUM(J104:N104))</f>
        <v/>
      </c>
      <c r="P104" s="11">
        <f>IF(O104="","",IF(O104&gt;=21,"S",IF(O104&gt;=17,"A",IF(O104&gt;=12,"B","C"))))</f>
        <v/>
      </c>
      <c r="Q104" s="11" t="n"/>
      <c r="R104" s="11" t="n"/>
      <c r="S104" s="11">
        <f>IF(R104="","",TODAY()-R104)</f>
        <v/>
      </c>
      <c r="T104" s="11" t="n"/>
      <c r="U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>
        <f>IF(COUNT(J105:N105)=0,"",SUM(J105:N105))</f>
        <v/>
      </c>
      <c r="P105" s="11">
        <f>IF(O105="","",IF(O105&gt;=21,"S",IF(O105&gt;=17,"A",IF(O105&gt;=12,"B","C"))))</f>
        <v/>
      </c>
      <c r="Q105" s="11" t="n"/>
      <c r="R105" s="11" t="n"/>
      <c r="S105" s="11">
        <f>IF(R105="","",TODAY()-R105)</f>
        <v/>
      </c>
      <c r="T105" s="11" t="n"/>
      <c r="U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>
        <f>IF(COUNT(J106:N106)=0,"",SUM(J106:N106))</f>
        <v/>
      </c>
      <c r="P106" s="11">
        <f>IF(O106="","",IF(O106&gt;=21,"S",IF(O106&gt;=17,"A",IF(O106&gt;=12,"B","C"))))</f>
        <v/>
      </c>
      <c r="Q106" s="11" t="n"/>
      <c r="R106" s="11" t="n"/>
      <c r="S106" s="11">
        <f>IF(R106="","",TODAY()-R106)</f>
        <v/>
      </c>
      <c r="T106" s="11" t="n"/>
      <c r="U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>
        <f>IF(COUNT(J107:N107)=0,"",SUM(J107:N107))</f>
        <v/>
      </c>
      <c r="P107" s="11">
        <f>IF(O107="","",IF(O107&gt;=21,"S",IF(O107&gt;=17,"A",IF(O107&gt;=12,"B","C"))))</f>
        <v/>
      </c>
      <c r="Q107" s="11" t="n"/>
      <c r="R107" s="11" t="n"/>
      <c r="S107" s="11">
        <f>IF(R107="","",TODAY()-R107)</f>
        <v/>
      </c>
      <c r="T107" s="11" t="n"/>
      <c r="U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>
        <f>IF(COUNT(J108:N108)=0,"",SUM(J108:N108))</f>
        <v/>
      </c>
      <c r="P108" s="11">
        <f>IF(O108="","",IF(O108&gt;=21,"S",IF(O108&gt;=17,"A",IF(O108&gt;=12,"B","C"))))</f>
        <v/>
      </c>
      <c r="Q108" s="11" t="n"/>
      <c r="R108" s="11" t="n"/>
      <c r="S108" s="11">
        <f>IF(R108="","",TODAY()-R108)</f>
        <v/>
      </c>
      <c r="T108" s="11" t="n"/>
      <c r="U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>
        <f>IF(COUNT(J109:N109)=0,"",SUM(J109:N109))</f>
        <v/>
      </c>
      <c r="P109" s="11">
        <f>IF(O109="","",IF(O109&gt;=21,"S",IF(O109&gt;=17,"A",IF(O109&gt;=12,"B","C"))))</f>
        <v/>
      </c>
      <c r="Q109" s="11" t="n"/>
      <c r="R109" s="11" t="n"/>
      <c r="S109" s="11">
        <f>IF(R109="","",TODAY()-R109)</f>
        <v/>
      </c>
      <c r="T109" s="11" t="n"/>
      <c r="U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>
        <f>IF(COUNT(J110:N110)=0,"",SUM(J110:N110))</f>
        <v/>
      </c>
      <c r="P110" s="11">
        <f>IF(O110="","",IF(O110&gt;=21,"S",IF(O110&gt;=17,"A",IF(O110&gt;=12,"B","C"))))</f>
        <v/>
      </c>
      <c r="Q110" s="11" t="n"/>
      <c r="R110" s="11" t="n"/>
      <c r="S110" s="11">
        <f>IF(R110="","",TODAY()-R110)</f>
        <v/>
      </c>
      <c r="T110" s="11" t="n"/>
      <c r="U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>
        <f>IF(COUNT(J111:N111)=0,"",SUM(J111:N111))</f>
        <v/>
      </c>
      <c r="P111" s="11">
        <f>IF(O111="","",IF(O111&gt;=21,"S",IF(O111&gt;=17,"A",IF(O111&gt;=12,"B","C"))))</f>
        <v/>
      </c>
      <c r="Q111" s="11" t="n"/>
      <c r="R111" s="11" t="n"/>
      <c r="S111" s="11">
        <f>IF(R111="","",TODAY()-R111)</f>
        <v/>
      </c>
      <c r="T111" s="11" t="n"/>
      <c r="U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>
        <f>IF(COUNT(J112:N112)=0,"",SUM(J112:N112))</f>
        <v/>
      </c>
      <c r="P112" s="11">
        <f>IF(O112="","",IF(O112&gt;=21,"S",IF(O112&gt;=17,"A",IF(O112&gt;=12,"B","C"))))</f>
        <v/>
      </c>
      <c r="Q112" s="11" t="n"/>
      <c r="R112" s="11" t="n"/>
      <c r="S112" s="11">
        <f>IF(R112="","",TODAY()-R112)</f>
        <v/>
      </c>
      <c r="T112" s="11" t="n"/>
      <c r="U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>
        <f>IF(COUNT(J113:N113)=0,"",SUM(J113:N113))</f>
        <v/>
      </c>
      <c r="P113" s="11">
        <f>IF(O113="","",IF(O113&gt;=21,"S",IF(O113&gt;=17,"A",IF(O113&gt;=12,"B","C"))))</f>
        <v/>
      </c>
      <c r="Q113" s="11" t="n"/>
      <c r="R113" s="11" t="n"/>
      <c r="S113" s="11">
        <f>IF(R113="","",TODAY()-R113)</f>
        <v/>
      </c>
      <c r="T113" s="11" t="n"/>
      <c r="U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>
        <f>IF(COUNT(J114:N114)=0,"",SUM(J114:N114))</f>
        <v/>
      </c>
      <c r="P114" s="11">
        <f>IF(O114="","",IF(O114&gt;=21,"S",IF(O114&gt;=17,"A",IF(O114&gt;=12,"B","C"))))</f>
        <v/>
      </c>
      <c r="Q114" s="11" t="n"/>
      <c r="R114" s="11" t="n"/>
      <c r="S114" s="11">
        <f>IF(R114="","",TODAY()-R114)</f>
        <v/>
      </c>
      <c r="T114" s="11" t="n"/>
      <c r="U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>
        <f>IF(COUNT(J115:N115)=0,"",SUM(J115:N115))</f>
        <v/>
      </c>
      <c r="P115" s="11">
        <f>IF(O115="","",IF(O115&gt;=21,"S",IF(O115&gt;=17,"A",IF(O115&gt;=12,"B","C"))))</f>
        <v/>
      </c>
      <c r="Q115" s="11" t="n"/>
      <c r="R115" s="11" t="n"/>
      <c r="S115" s="11">
        <f>IF(R115="","",TODAY()-R115)</f>
        <v/>
      </c>
      <c r="T115" s="11" t="n"/>
      <c r="U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>
        <f>IF(COUNT(J116:N116)=0,"",SUM(J116:N116))</f>
        <v/>
      </c>
      <c r="P116" s="11">
        <f>IF(O116="","",IF(O116&gt;=21,"S",IF(O116&gt;=17,"A",IF(O116&gt;=12,"B","C"))))</f>
        <v/>
      </c>
      <c r="Q116" s="11" t="n"/>
      <c r="R116" s="11" t="n"/>
      <c r="S116" s="11">
        <f>IF(R116="","",TODAY()-R116)</f>
        <v/>
      </c>
      <c r="T116" s="11" t="n"/>
      <c r="U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>
        <f>IF(COUNT(J117:N117)=0,"",SUM(J117:N117))</f>
        <v/>
      </c>
      <c r="P117" s="11">
        <f>IF(O117="","",IF(O117&gt;=21,"S",IF(O117&gt;=17,"A",IF(O117&gt;=12,"B","C"))))</f>
        <v/>
      </c>
      <c r="Q117" s="11" t="n"/>
      <c r="R117" s="11" t="n"/>
      <c r="S117" s="11">
        <f>IF(R117="","",TODAY()-R117)</f>
        <v/>
      </c>
      <c r="T117" s="11" t="n"/>
      <c r="U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>
        <f>IF(COUNT(J118:N118)=0,"",SUM(J118:N118))</f>
        <v/>
      </c>
      <c r="P118" s="11">
        <f>IF(O118="","",IF(O118&gt;=21,"S",IF(O118&gt;=17,"A",IF(O118&gt;=12,"B","C"))))</f>
        <v/>
      </c>
      <c r="Q118" s="11" t="n"/>
      <c r="R118" s="11" t="n"/>
      <c r="S118" s="11">
        <f>IF(R118="","",TODAY()-R118)</f>
        <v/>
      </c>
      <c r="T118" s="11" t="n"/>
      <c r="U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>
        <f>IF(COUNT(J119:N119)=0,"",SUM(J119:N119))</f>
        <v/>
      </c>
      <c r="P119" s="11">
        <f>IF(O119="","",IF(O119&gt;=21,"S",IF(O119&gt;=17,"A",IF(O119&gt;=12,"B","C"))))</f>
        <v/>
      </c>
      <c r="Q119" s="11" t="n"/>
      <c r="R119" s="11" t="n"/>
      <c r="S119" s="11">
        <f>IF(R119="","",TODAY()-R119)</f>
        <v/>
      </c>
      <c r="T119" s="11" t="n"/>
      <c r="U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>
        <f>IF(COUNT(J120:N120)=0,"",SUM(J120:N120))</f>
        <v/>
      </c>
      <c r="P120" s="11">
        <f>IF(O120="","",IF(O120&gt;=21,"S",IF(O120&gt;=17,"A",IF(O120&gt;=12,"B","C"))))</f>
        <v/>
      </c>
      <c r="Q120" s="11" t="n"/>
      <c r="R120" s="11" t="n"/>
      <c r="S120" s="11">
        <f>IF(R120="","",TODAY()-R120)</f>
        <v/>
      </c>
      <c r="T120" s="11" t="n"/>
      <c r="U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>
        <f>IF(COUNT(J121:N121)=0,"",SUM(J121:N121))</f>
        <v/>
      </c>
      <c r="P121" s="11">
        <f>IF(O121="","",IF(O121&gt;=21,"S",IF(O121&gt;=17,"A",IF(O121&gt;=12,"B","C"))))</f>
        <v/>
      </c>
      <c r="Q121" s="11" t="n"/>
      <c r="R121" s="11" t="n"/>
      <c r="S121" s="11">
        <f>IF(R121="","",TODAY()-R121)</f>
        <v/>
      </c>
      <c r="T121" s="11" t="n"/>
      <c r="U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>
        <f>IF(COUNT(J122:N122)=0,"",SUM(J122:N122))</f>
        <v/>
      </c>
      <c r="P122" s="11">
        <f>IF(O122="","",IF(O122&gt;=21,"S",IF(O122&gt;=17,"A",IF(O122&gt;=12,"B","C"))))</f>
        <v/>
      </c>
      <c r="Q122" s="11" t="n"/>
      <c r="R122" s="11" t="n"/>
      <c r="S122" s="11">
        <f>IF(R122="","",TODAY()-R122)</f>
        <v/>
      </c>
      <c r="T122" s="11" t="n"/>
      <c r="U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>
        <f>IF(COUNT(J123:N123)=0,"",SUM(J123:N123))</f>
        <v/>
      </c>
      <c r="P123" s="11">
        <f>IF(O123="","",IF(O123&gt;=21,"S",IF(O123&gt;=17,"A",IF(O123&gt;=12,"B","C"))))</f>
        <v/>
      </c>
      <c r="Q123" s="11" t="n"/>
      <c r="R123" s="11" t="n"/>
      <c r="S123" s="11">
        <f>IF(R123="","",TODAY()-R123)</f>
        <v/>
      </c>
      <c r="T123" s="11" t="n"/>
      <c r="U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>
        <f>IF(COUNT(J124:N124)=0,"",SUM(J124:N124))</f>
        <v/>
      </c>
      <c r="P124" s="11">
        <f>IF(O124="","",IF(O124&gt;=21,"S",IF(O124&gt;=17,"A",IF(O124&gt;=12,"B","C"))))</f>
        <v/>
      </c>
      <c r="Q124" s="11" t="n"/>
      <c r="R124" s="11" t="n"/>
      <c r="S124" s="11">
        <f>IF(R124="","",TODAY()-R124)</f>
        <v/>
      </c>
      <c r="T124" s="11" t="n"/>
      <c r="U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>
        <f>IF(COUNT(J125:N125)=0,"",SUM(J125:N125))</f>
        <v/>
      </c>
      <c r="P125" s="11">
        <f>IF(O125="","",IF(O125&gt;=21,"S",IF(O125&gt;=17,"A",IF(O125&gt;=12,"B","C"))))</f>
        <v/>
      </c>
      <c r="Q125" s="11" t="n"/>
      <c r="R125" s="11" t="n"/>
      <c r="S125" s="11">
        <f>IF(R125="","",TODAY()-R125)</f>
        <v/>
      </c>
      <c r="T125" s="11" t="n"/>
      <c r="U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>
        <f>IF(COUNT(J126:N126)=0,"",SUM(J126:N126))</f>
        <v/>
      </c>
      <c r="P126" s="11">
        <f>IF(O126="","",IF(O126&gt;=21,"S",IF(O126&gt;=17,"A",IF(O126&gt;=12,"B","C"))))</f>
        <v/>
      </c>
      <c r="Q126" s="11" t="n"/>
      <c r="R126" s="11" t="n"/>
      <c r="S126" s="11">
        <f>IF(R126="","",TODAY()-R126)</f>
        <v/>
      </c>
      <c r="T126" s="11" t="n"/>
      <c r="U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>
        <f>IF(COUNT(J127:N127)=0,"",SUM(J127:N127))</f>
        <v/>
      </c>
      <c r="P127" s="11">
        <f>IF(O127="","",IF(O127&gt;=21,"S",IF(O127&gt;=17,"A",IF(O127&gt;=12,"B","C"))))</f>
        <v/>
      </c>
      <c r="Q127" s="11" t="n"/>
      <c r="R127" s="11" t="n"/>
      <c r="S127" s="11">
        <f>IF(R127="","",TODAY()-R127)</f>
        <v/>
      </c>
      <c r="T127" s="11" t="n"/>
      <c r="U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>
        <f>IF(COUNT(J128:N128)=0,"",SUM(J128:N128))</f>
        <v/>
      </c>
      <c r="P128" s="11">
        <f>IF(O128="","",IF(O128&gt;=21,"S",IF(O128&gt;=17,"A",IF(O128&gt;=12,"B","C"))))</f>
        <v/>
      </c>
      <c r="Q128" s="11" t="n"/>
      <c r="R128" s="11" t="n"/>
      <c r="S128" s="11">
        <f>IF(R128="","",TODAY()-R128)</f>
        <v/>
      </c>
      <c r="T128" s="11" t="n"/>
      <c r="U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>
        <f>IF(COUNT(J129:N129)=0,"",SUM(J129:N129))</f>
        <v/>
      </c>
      <c r="P129" s="11">
        <f>IF(O129="","",IF(O129&gt;=21,"S",IF(O129&gt;=17,"A",IF(O129&gt;=12,"B","C"))))</f>
        <v/>
      </c>
      <c r="Q129" s="11" t="n"/>
      <c r="R129" s="11" t="n"/>
      <c r="S129" s="11">
        <f>IF(R129="","",TODAY()-R129)</f>
        <v/>
      </c>
      <c r="T129" s="11" t="n"/>
      <c r="U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>
        <f>IF(COUNT(J130:N130)=0,"",SUM(J130:N130))</f>
        <v/>
      </c>
      <c r="P130" s="11">
        <f>IF(O130="","",IF(O130&gt;=21,"S",IF(O130&gt;=17,"A",IF(O130&gt;=12,"B","C"))))</f>
        <v/>
      </c>
      <c r="Q130" s="11" t="n"/>
      <c r="R130" s="11" t="n"/>
      <c r="S130" s="11">
        <f>IF(R130="","",TODAY()-R130)</f>
        <v/>
      </c>
      <c r="T130" s="11" t="n"/>
      <c r="U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>
        <f>IF(COUNT(J131:N131)=0,"",SUM(J131:N131))</f>
        <v/>
      </c>
      <c r="P131" s="11">
        <f>IF(O131="","",IF(O131&gt;=21,"S",IF(O131&gt;=17,"A",IF(O131&gt;=12,"B","C"))))</f>
        <v/>
      </c>
      <c r="Q131" s="11" t="n"/>
      <c r="R131" s="11" t="n"/>
      <c r="S131" s="11">
        <f>IF(R131="","",TODAY()-R131)</f>
        <v/>
      </c>
      <c r="T131" s="11" t="n"/>
      <c r="U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>
        <f>IF(COUNT(J132:N132)=0,"",SUM(J132:N132))</f>
        <v/>
      </c>
      <c r="P132" s="11">
        <f>IF(O132="","",IF(O132&gt;=21,"S",IF(O132&gt;=17,"A",IF(O132&gt;=12,"B","C"))))</f>
        <v/>
      </c>
      <c r="Q132" s="11" t="n"/>
      <c r="R132" s="11" t="n"/>
      <c r="S132" s="11">
        <f>IF(R132="","",TODAY()-R132)</f>
        <v/>
      </c>
      <c r="T132" s="11" t="n"/>
      <c r="U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>
        <f>IF(COUNT(J133:N133)=0,"",SUM(J133:N133))</f>
        <v/>
      </c>
      <c r="P133" s="11">
        <f>IF(O133="","",IF(O133&gt;=21,"S",IF(O133&gt;=17,"A",IF(O133&gt;=12,"B","C"))))</f>
        <v/>
      </c>
      <c r="Q133" s="11" t="n"/>
      <c r="R133" s="11" t="n"/>
      <c r="S133" s="11">
        <f>IF(R133="","",TODAY()-R133)</f>
        <v/>
      </c>
      <c r="T133" s="11" t="n"/>
      <c r="U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>
        <f>IF(COUNT(J134:N134)=0,"",SUM(J134:N134))</f>
        <v/>
      </c>
      <c r="P134" s="11">
        <f>IF(O134="","",IF(O134&gt;=21,"S",IF(O134&gt;=17,"A",IF(O134&gt;=12,"B","C"))))</f>
        <v/>
      </c>
      <c r="Q134" s="11" t="n"/>
      <c r="R134" s="11" t="n"/>
      <c r="S134" s="11">
        <f>IF(R134="","",TODAY()-R134)</f>
        <v/>
      </c>
      <c r="T134" s="11" t="n"/>
      <c r="U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>
        <f>IF(COUNT(J135:N135)=0,"",SUM(J135:N135))</f>
        <v/>
      </c>
      <c r="P135" s="11">
        <f>IF(O135="","",IF(O135&gt;=21,"S",IF(O135&gt;=17,"A",IF(O135&gt;=12,"B","C"))))</f>
        <v/>
      </c>
      <c r="Q135" s="11" t="n"/>
      <c r="R135" s="11" t="n"/>
      <c r="S135" s="11">
        <f>IF(R135="","",TODAY()-R135)</f>
        <v/>
      </c>
      <c r="T135" s="11" t="n"/>
      <c r="U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>
        <f>IF(COUNT(J136:N136)=0,"",SUM(J136:N136))</f>
        <v/>
      </c>
      <c r="P136" s="11">
        <f>IF(O136="","",IF(O136&gt;=21,"S",IF(O136&gt;=17,"A",IF(O136&gt;=12,"B","C"))))</f>
        <v/>
      </c>
      <c r="Q136" s="11" t="n"/>
      <c r="R136" s="11" t="n"/>
      <c r="S136" s="11">
        <f>IF(R136="","",TODAY()-R136)</f>
        <v/>
      </c>
      <c r="T136" s="11" t="n"/>
      <c r="U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>
        <f>IF(COUNT(J137:N137)=0,"",SUM(J137:N137))</f>
        <v/>
      </c>
      <c r="P137" s="11">
        <f>IF(O137="","",IF(O137&gt;=21,"S",IF(O137&gt;=17,"A",IF(O137&gt;=12,"B","C"))))</f>
        <v/>
      </c>
      <c r="Q137" s="11" t="n"/>
      <c r="R137" s="11" t="n"/>
      <c r="S137" s="11">
        <f>IF(R137="","",TODAY()-R137)</f>
        <v/>
      </c>
      <c r="T137" s="11" t="n"/>
      <c r="U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>
        <f>IF(COUNT(J138:N138)=0,"",SUM(J138:N138))</f>
        <v/>
      </c>
      <c r="P138" s="11">
        <f>IF(O138="","",IF(O138&gt;=21,"S",IF(O138&gt;=17,"A",IF(O138&gt;=12,"B","C"))))</f>
        <v/>
      </c>
      <c r="Q138" s="11" t="n"/>
      <c r="R138" s="11" t="n"/>
      <c r="S138" s="11">
        <f>IF(R138="","",TODAY()-R138)</f>
        <v/>
      </c>
      <c r="T138" s="11" t="n"/>
      <c r="U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>
        <f>IF(COUNT(J139:N139)=0,"",SUM(J139:N139))</f>
        <v/>
      </c>
      <c r="P139" s="11">
        <f>IF(O139="","",IF(O139&gt;=21,"S",IF(O139&gt;=17,"A",IF(O139&gt;=12,"B","C"))))</f>
        <v/>
      </c>
      <c r="Q139" s="11" t="n"/>
      <c r="R139" s="11" t="n"/>
      <c r="S139" s="11">
        <f>IF(R139="","",TODAY()-R139)</f>
        <v/>
      </c>
      <c r="T139" s="11" t="n"/>
      <c r="U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>
        <f>IF(COUNT(J140:N140)=0,"",SUM(J140:N140))</f>
        <v/>
      </c>
      <c r="P140" s="11">
        <f>IF(O140="","",IF(O140&gt;=21,"S",IF(O140&gt;=17,"A",IF(O140&gt;=12,"B","C"))))</f>
        <v/>
      </c>
      <c r="Q140" s="11" t="n"/>
      <c r="R140" s="11" t="n"/>
      <c r="S140" s="11">
        <f>IF(R140="","",TODAY()-R140)</f>
        <v/>
      </c>
      <c r="T140" s="11" t="n"/>
      <c r="U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>
        <f>IF(COUNT(J141:N141)=0,"",SUM(J141:N141))</f>
        <v/>
      </c>
      <c r="P141" s="11">
        <f>IF(O141="","",IF(O141&gt;=21,"S",IF(O141&gt;=17,"A",IF(O141&gt;=12,"B","C"))))</f>
        <v/>
      </c>
      <c r="Q141" s="11" t="n"/>
      <c r="R141" s="11" t="n"/>
      <c r="S141" s="11">
        <f>IF(R141="","",TODAY()-R141)</f>
        <v/>
      </c>
      <c r="T141" s="11" t="n"/>
      <c r="U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>
        <f>IF(COUNT(J142:N142)=0,"",SUM(J142:N142))</f>
        <v/>
      </c>
      <c r="P142" s="11">
        <f>IF(O142="","",IF(O142&gt;=21,"S",IF(O142&gt;=17,"A",IF(O142&gt;=12,"B","C"))))</f>
        <v/>
      </c>
      <c r="Q142" s="11" t="n"/>
      <c r="R142" s="11" t="n"/>
      <c r="S142" s="11">
        <f>IF(R142="","",TODAY()-R142)</f>
        <v/>
      </c>
      <c r="T142" s="11" t="n"/>
      <c r="U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>
        <f>IF(COUNT(J143:N143)=0,"",SUM(J143:N143))</f>
        <v/>
      </c>
      <c r="P143" s="11">
        <f>IF(O143="","",IF(O143&gt;=21,"S",IF(O143&gt;=17,"A",IF(O143&gt;=12,"B","C"))))</f>
        <v/>
      </c>
      <c r="Q143" s="11" t="n"/>
      <c r="R143" s="11" t="n"/>
      <c r="S143" s="11">
        <f>IF(R143="","",TODAY()-R143)</f>
        <v/>
      </c>
      <c r="T143" s="11" t="n"/>
      <c r="U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>
        <f>IF(COUNT(J144:N144)=0,"",SUM(J144:N144))</f>
        <v/>
      </c>
      <c r="P144" s="11">
        <f>IF(O144="","",IF(O144&gt;=21,"S",IF(O144&gt;=17,"A",IF(O144&gt;=12,"B","C"))))</f>
        <v/>
      </c>
      <c r="Q144" s="11" t="n"/>
      <c r="R144" s="11" t="n"/>
      <c r="S144" s="11">
        <f>IF(R144="","",TODAY()-R144)</f>
        <v/>
      </c>
      <c r="T144" s="11" t="n"/>
      <c r="U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>
        <f>IF(COUNT(J145:N145)=0,"",SUM(J145:N145))</f>
        <v/>
      </c>
      <c r="P145" s="11">
        <f>IF(O145="","",IF(O145&gt;=21,"S",IF(O145&gt;=17,"A",IF(O145&gt;=12,"B","C"))))</f>
        <v/>
      </c>
      <c r="Q145" s="11" t="n"/>
      <c r="R145" s="11" t="n"/>
      <c r="S145" s="11">
        <f>IF(R145="","",TODAY()-R145)</f>
        <v/>
      </c>
      <c r="T145" s="11" t="n"/>
      <c r="U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>
        <f>IF(COUNT(J146:N146)=0,"",SUM(J146:N146))</f>
        <v/>
      </c>
      <c r="P146" s="11">
        <f>IF(O146="","",IF(O146&gt;=21,"S",IF(O146&gt;=17,"A",IF(O146&gt;=12,"B","C"))))</f>
        <v/>
      </c>
      <c r="Q146" s="11" t="n"/>
      <c r="R146" s="11" t="n"/>
      <c r="S146" s="11">
        <f>IF(R146="","",TODAY()-R146)</f>
        <v/>
      </c>
      <c r="T146" s="11" t="n"/>
      <c r="U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>
        <f>IF(COUNT(J147:N147)=0,"",SUM(J147:N147))</f>
        <v/>
      </c>
      <c r="P147" s="11">
        <f>IF(O147="","",IF(O147&gt;=21,"S",IF(O147&gt;=17,"A",IF(O147&gt;=12,"B","C"))))</f>
        <v/>
      </c>
      <c r="Q147" s="11" t="n"/>
      <c r="R147" s="11" t="n"/>
      <c r="S147" s="11">
        <f>IF(R147="","",TODAY()-R147)</f>
        <v/>
      </c>
      <c r="T147" s="11" t="n"/>
      <c r="U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>
        <f>IF(COUNT(J148:N148)=0,"",SUM(J148:N148))</f>
        <v/>
      </c>
      <c r="P148" s="11">
        <f>IF(O148="","",IF(O148&gt;=21,"S",IF(O148&gt;=17,"A",IF(O148&gt;=12,"B","C"))))</f>
        <v/>
      </c>
      <c r="Q148" s="11" t="n"/>
      <c r="R148" s="11" t="n"/>
      <c r="S148" s="11">
        <f>IF(R148="","",TODAY()-R148)</f>
        <v/>
      </c>
      <c r="T148" s="11" t="n"/>
      <c r="U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>
        <f>IF(COUNT(J149:N149)=0,"",SUM(J149:N149))</f>
        <v/>
      </c>
      <c r="P149" s="11">
        <f>IF(O149="","",IF(O149&gt;=21,"S",IF(O149&gt;=17,"A",IF(O149&gt;=12,"B","C"))))</f>
        <v/>
      </c>
      <c r="Q149" s="11" t="n"/>
      <c r="R149" s="11" t="n"/>
      <c r="S149" s="11">
        <f>IF(R149="","",TODAY()-R149)</f>
        <v/>
      </c>
      <c r="T149" s="11" t="n"/>
      <c r="U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>
        <f>IF(COUNT(J150:N150)=0,"",SUM(J150:N150))</f>
        <v/>
      </c>
      <c r="P150" s="11">
        <f>IF(O150="","",IF(O150&gt;=21,"S",IF(O150&gt;=17,"A",IF(O150&gt;=12,"B","C"))))</f>
        <v/>
      </c>
      <c r="Q150" s="11" t="n"/>
      <c r="R150" s="11" t="n"/>
      <c r="S150" s="11">
        <f>IF(R150="","",TODAY()-R150)</f>
        <v/>
      </c>
      <c r="T150" s="11" t="n"/>
      <c r="U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>
        <f>IF(COUNT(J151:N151)=0,"",SUM(J151:N151))</f>
        <v/>
      </c>
      <c r="P151" s="11">
        <f>IF(O151="","",IF(O151&gt;=21,"S",IF(O151&gt;=17,"A",IF(O151&gt;=12,"B","C"))))</f>
        <v/>
      </c>
      <c r="Q151" s="11" t="n"/>
      <c r="R151" s="11" t="n"/>
      <c r="S151" s="11">
        <f>IF(R151="","",TODAY()-R151)</f>
        <v/>
      </c>
      <c r="T151" s="11" t="n"/>
      <c r="U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>
        <f>IF(COUNT(J152:N152)=0,"",SUM(J152:N152))</f>
        <v/>
      </c>
      <c r="P152" s="11">
        <f>IF(O152="","",IF(O152&gt;=21,"S",IF(O152&gt;=17,"A",IF(O152&gt;=12,"B","C"))))</f>
        <v/>
      </c>
      <c r="Q152" s="11" t="n"/>
      <c r="R152" s="11" t="n"/>
      <c r="S152" s="11">
        <f>IF(R152="","",TODAY()-R152)</f>
        <v/>
      </c>
      <c r="T152" s="11" t="n"/>
      <c r="U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>
        <f>IF(COUNT(J153:N153)=0,"",SUM(J153:N153))</f>
        <v/>
      </c>
      <c r="P153" s="11">
        <f>IF(O153="","",IF(O153&gt;=21,"S",IF(O153&gt;=17,"A",IF(O153&gt;=12,"B","C"))))</f>
        <v/>
      </c>
      <c r="Q153" s="11" t="n"/>
      <c r="R153" s="11" t="n"/>
      <c r="S153" s="11">
        <f>IF(R153="","",TODAY()-R153)</f>
        <v/>
      </c>
      <c r="T153" s="11" t="n"/>
      <c r="U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>
        <f>IF(COUNT(J154:N154)=0,"",SUM(J154:N154))</f>
        <v/>
      </c>
      <c r="P154" s="11">
        <f>IF(O154="","",IF(O154&gt;=21,"S",IF(O154&gt;=17,"A",IF(O154&gt;=12,"B","C"))))</f>
        <v/>
      </c>
      <c r="Q154" s="11" t="n"/>
      <c r="R154" s="11" t="n"/>
      <c r="S154" s="11">
        <f>IF(R154="","",TODAY()-R154)</f>
        <v/>
      </c>
      <c r="T154" s="11" t="n"/>
      <c r="U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>
        <f>IF(COUNT(J155:N155)=0,"",SUM(J155:N155))</f>
        <v/>
      </c>
      <c r="P155" s="11">
        <f>IF(O155="","",IF(O155&gt;=21,"S",IF(O155&gt;=17,"A",IF(O155&gt;=12,"B","C"))))</f>
        <v/>
      </c>
      <c r="Q155" s="11" t="n"/>
      <c r="R155" s="11" t="n"/>
      <c r="S155" s="11">
        <f>IF(R155="","",TODAY()-R155)</f>
        <v/>
      </c>
      <c r="T155" s="11" t="n"/>
      <c r="U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>
        <f>IF(COUNT(J156:N156)=0,"",SUM(J156:N156))</f>
        <v/>
      </c>
      <c r="P156" s="11">
        <f>IF(O156="","",IF(O156&gt;=21,"S",IF(O156&gt;=17,"A",IF(O156&gt;=12,"B","C"))))</f>
        <v/>
      </c>
      <c r="Q156" s="11" t="n"/>
      <c r="R156" s="11" t="n"/>
      <c r="S156" s="11">
        <f>IF(R156="","",TODAY()-R156)</f>
        <v/>
      </c>
      <c r="T156" s="11" t="n"/>
      <c r="U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>
        <f>IF(COUNT(J157:N157)=0,"",SUM(J157:N157))</f>
        <v/>
      </c>
      <c r="P157" s="11">
        <f>IF(O157="","",IF(O157&gt;=21,"S",IF(O157&gt;=17,"A",IF(O157&gt;=12,"B","C"))))</f>
        <v/>
      </c>
      <c r="Q157" s="11" t="n"/>
      <c r="R157" s="11" t="n"/>
      <c r="S157" s="11">
        <f>IF(R157="","",TODAY()-R157)</f>
        <v/>
      </c>
      <c r="T157" s="11" t="n"/>
      <c r="U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>
        <f>IF(COUNT(J158:N158)=0,"",SUM(J158:N158))</f>
        <v/>
      </c>
      <c r="P158" s="11">
        <f>IF(O158="","",IF(O158&gt;=21,"S",IF(O158&gt;=17,"A",IF(O158&gt;=12,"B","C"))))</f>
        <v/>
      </c>
      <c r="Q158" s="11" t="n"/>
      <c r="R158" s="11" t="n"/>
      <c r="S158" s="11">
        <f>IF(R158="","",TODAY()-R158)</f>
        <v/>
      </c>
      <c r="T158" s="11" t="n"/>
      <c r="U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>
        <f>IF(COUNT(J159:N159)=0,"",SUM(J159:N159))</f>
        <v/>
      </c>
      <c r="P159" s="11">
        <f>IF(O159="","",IF(O159&gt;=21,"S",IF(O159&gt;=17,"A",IF(O159&gt;=12,"B","C"))))</f>
        <v/>
      </c>
      <c r="Q159" s="11" t="n"/>
      <c r="R159" s="11" t="n"/>
      <c r="S159" s="11">
        <f>IF(R159="","",TODAY()-R159)</f>
        <v/>
      </c>
      <c r="T159" s="11" t="n"/>
      <c r="U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>
        <f>IF(COUNT(J160:N160)=0,"",SUM(J160:N160))</f>
        <v/>
      </c>
      <c r="P160" s="11">
        <f>IF(O160="","",IF(O160&gt;=21,"S",IF(O160&gt;=17,"A",IF(O160&gt;=12,"B","C"))))</f>
        <v/>
      </c>
      <c r="Q160" s="11" t="n"/>
      <c r="R160" s="11" t="n"/>
      <c r="S160" s="11">
        <f>IF(R160="","",TODAY()-R160)</f>
        <v/>
      </c>
      <c r="T160" s="11" t="n"/>
      <c r="U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>
        <f>IF(COUNT(J161:N161)=0,"",SUM(J161:N161))</f>
        <v/>
      </c>
      <c r="P161" s="11">
        <f>IF(O161="","",IF(O161&gt;=21,"S",IF(O161&gt;=17,"A",IF(O161&gt;=12,"B","C"))))</f>
        <v/>
      </c>
      <c r="Q161" s="11" t="n"/>
      <c r="R161" s="11" t="n"/>
      <c r="S161" s="11">
        <f>IF(R161="","",TODAY()-R161)</f>
        <v/>
      </c>
      <c r="T161" s="11" t="n"/>
      <c r="U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>
        <f>IF(COUNT(J162:N162)=0,"",SUM(J162:N162))</f>
        <v/>
      </c>
      <c r="P162" s="11">
        <f>IF(O162="","",IF(O162&gt;=21,"S",IF(O162&gt;=17,"A",IF(O162&gt;=12,"B","C"))))</f>
        <v/>
      </c>
      <c r="Q162" s="11" t="n"/>
      <c r="R162" s="11" t="n"/>
      <c r="S162" s="11">
        <f>IF(R162="","",TODAY()-R162)</f>
        <v/>
      </c>
      <c r="T162" s="11" t="n"/>
      <c r="U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>
        <f>IF(COUNT(J163:N163)=0,"",SUM(J163:N163))</f>
        <v/>
      </c>
      <c r="P163" s="11">
        <f>IF(O163="","",IF(O163&gt;=21,"S",IF(O163&gt;=17,"A",IF(O163&gt;=12,"B","C"))))</f>
        <v/>
      </c>
      <c r="Q163" s="11" t="n"/>
      <c r="R163" s="11" t="n"/>
      <c r="S163" s="11">
        <f>IF(R163="","",TODAY()-R163)</f>
        <v/>
      </c>
      <c r="T163" s="11" t="n"/>
      <c r="U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>
        <f>IF(COUNT(J164:N164)=0,"",SUM(J164:N164))</f>
        <v/>
      </c>
      <c r="P164" s="11">
        <f>IF(O164="","",IF(O164&gt;=21,"S",IF(O164&gt;=17,"A",IF(O164&gt;=12,"B","C"))))</f>
        <v/>
      </c>
      <c r="Q164" s="11" t="n"/>
      <c r="R164" s="11" t="n"/>
      <c r="S164" s="11">
        <f>IF(R164="","",TODAY()-R164)</f>
        <v/>
      </c>
      <c r="T164" s="11" t="n"/>
      <c r="U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>
        <f>IF(COUNT(J165:N165)=0,"",SUM(J165:N165))</f>
        <v/>
      </c>
      <c r="P165" s="11">
        <f>IF(O165="","",IF(O165&gt;=21,"S",IF(O165&gt;=17,"A",IF(O165&gt;=12,"B","C"))))</f>
        <v/>
      </c>
      <c r="Q165" s="11" t="n"/>
      <c r="R165" s="11" t="n"/>
      <c r="S165" s="11">
        <f>IF(R165="","",TODAY()-R165)</f>
        <v/>
      </c>
      <c r="T165" s="11" t="n"/>
      <c r="U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>
        <f>IF(COUNT(J166:N166)=0,"",SUM(J166:N166))</f>
        <v/>
      </c>
      <c r="P166" s="11">
        <f>IF(O166="","",IF(O166&gt;=21,"S",IF(O166&gt;=17,"A",IF(O166&gt;=12,"B","C"))))</f>
        <v/>
      </c>
      <c r="Q166" s="11" t="n"/>
      <c r="R166" s="11" t="n"/>
      <c r="S166" s="11">
        <f>IF(R166="","",TODAY()-R166)</f>
        <v/>
      </c>
      <c r="T166" s="11" t="n"/>
      <c r="U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>
        <f>IF(COUNT(J167:N167)=0,"",SUM(J167:N167))</f>
        <v/>
      </c>
      <c r="P167" s="11">
        <f>IF(O167="","",IF(O167&gt;=21,"S",IF(O167&gt;=17,"A",IF(O167&gt;=12,"B","C"))))</f>
        <v/>
      </c>
      <c r="Q167" s="11" t="n"/>
      <c r="R167" s="11" t="n"/>
      <c r="S167" s="11">
        <f>IF(R167="","",TODAY()-R167)</f>
        <v/>
      </c>
      <c r="T167" s="11" t="n"/>
      <c r="U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>
        <f>IF(COUNT(J168:N168)=0,"",SUM(J168:N168))</f>
        <v/>
      </c>
      <c r="P168" s="11">
        <f>IF(O168="","",IF(O168&gt;=21,"S",IF(O168&gt;=17,"A",IF(O168&gt;=12,"B","C"))))</f>
        <v/>
      </c>
      <c r="Q168" s="11" t="n"/>
      <c r="R168" s="11" t="n"/>
      <c r="S168" s="11">
        <f>IF(R168="","",TODAY()-R168)</f>
        <v/>
      </c>
      <c r="T168" s="11" t="n"/>
      <c r="U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>
        <f>IF(COUNT(J169:N169)=0,"",SUM(J169:N169))</f>
        <v/>
      </c>
      <c r="P169" s="11">
        <f>IF(O169="","",IF(O169&gt;=21,"S",IF(O169&gt;=17,"A",IF(O169&gt;=12,"B","C"))))</f>
        <v/>
      </c>
      <c r="Q169" s="11" t="n"/>
      <c r="R169" s="11" t="n"/>
      <c r="S169" s="11">
        <f>IF(R169="","",TODAY()-R169)</f>
        <v/>
      </c>
      <c r="T169" s="11" t="n"/>
      <c r="U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>
        <f>IF(COUNT(J170:N170)=0,"",SUM(J170:N170))</f>
        <v/>
      </c>
      <c r="P170" s="11">
        <f>IF(O170="","",IF(O170&gt;=21,"S",IF(O170&gt;=17,"A",IF(O170&gt;=12,"B","C"))))</f>
        <v/>
      </c>
      <c r="Q170" s="11" t="n"/>
      <c r="R170" s="11" t="n"/>
      <c r="S170" s="11">
        <f>IF(R170="","",TODAY()-R170)</f>
        <v/>
      </c>
      <c r="T170" s="11" t="n"/>
      <c r="U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>
        <f>IF(COUNT(J171:N171)=0,"",SUM(J171:N171))</f>
        <v/>
      </c>
      <c r="P171" s="11">
        <f>IF(O171="","",IF(O171&gt;=21,"S",IF(O171&gt;=17,"A",IF(O171&gt;=12,"B","C"))))</f>
        <v/>
      </c>
      <c r="Q171" s="11" t="n"/>
      <c r="R171" s="11" t="n"/>
      <c r="S171" s="11">
        <f>IF(R171="","",TODAY()-R171)</f>
        <v/>
      </c>
      <c r="T171" s="11" t="n"/>
      <c r="U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>
        <f>IF(COUNT(J172:N172)=0,"",SUM(J172:N172))</f>
        <v/>
      </c>
      <c r="P172" s="11">
        <f>IF(O172="","",IF(O172&gt;=21,"S",IF(O172&gt;=17,"A",IF(O172&gt;=12,"B","C"))))</f>
        <v/>
      </c>
      <c r="Q172" s="11" t="n"/>
      <c r="R172" s="11" t="n"/>
      <c r="S172" s="11">
        <f>IF(R172="","",TODAY()-R172)</f>
        <v/>
      </c>
      <c r="T172" s="11" t="n"/>
      <c r="U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>
        <f>IF(COUNT(J173:N173)=0,"",SUM(J173:N173))</f>
        <v/>
      </c>
      <c r="P173" s="11">
        <f>IF(O173="","",IF(O173&gt;=21,"S",IF(O173&gt;=17,"A",IF(O173&gt;=12,"B","C"))))</f>
        <v/>
      </c>
      <c r="Q173" s="11" t="n"/>
      <c r="R173" s="11" t="n"/>
      <c r="S173" s="11">
        <f>IF(R173="","",TODAY()-R173)</f>
        <v/>
      </c>
      <c r="T173" s="11" t="n"/>
      <c r="U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>
        <f>IF(COUNT(J174:N174)=0,"",SUM(J174:N174))</f>
        <v/>
      </c>
      <c r="P174" s="11">
        <f>IF(O174="","",IF(O174&gt;=21,"S",IF(O174&gt;=17,"A",IF(O174&gt;=12,"B","C"))))</f>
        <v/>
      </c>
      <c r="Q174" s="11" t="n"/>
      <c r="R174" s="11" t="n"/>
      <c r="S174" s="11">
        <f>IF(R174="","",TODAY()-R174)</f>
        <v/>
      </c>
      <c r="T174" s="11" t="n"/>
      <c r="U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>
        <f>IF(COUNT(J175:N175)=0,"",SUM(J175:N175))</f>
        <v/>
      </c>
      <c r="P175" s="11">
        <f>IF(O175="","",IF(O175&gt;=21,"S",IF(O175&gt;=17,"A",IF(O175&gt;=12,"B","C"))))</f>
        <v/>
      </c>
      <c r="Q175" s="11" t="n"/>
      <c r="R175" s="11" t="n"/>
      <c r="S175" s="11">
        <f>IF(R175="","",TODAY()-R175)</f>
        <v/>
      </c>
      <c r="T175" s="11" t="n"/>
      <c r="U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>
        <f>IF(COUNT(J176:N176)=0,"",SUM(J176:N176))</f>
        <v/>
      </c>
      <c r="P176" s="11">
        <f>IF(O176="","",IF(O176&gt;=21,"S",IF(O176&gt;=17,"A",IF(O176&gt;=12,"B","C"))))</f>
        <v/>
      </c>
      <c r="Q176" s="11" t="n"/>
      <c r="R176" s="11" t="n"/>
      <c r="S176" s="11">
        <f>IF(R176="","",TODAY()-R176)</f>
        <v/>
      </c>
      <c r="T176" s="11" t="n"/>
      <c r="U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>
        <f>IF(COUNT(J177:N177)=0,"",SUM(J177:N177))</f>
        <v/>
      </c>
      <c r="P177" s="11">
        <f>IF(O177="","",IF(O177&gt;=21,"S",IF(O177&gt;=17,"A",IF(O177&gt;=12,"B","C"))))</f>
        <v/>
      </c>
      <c r="Q177" s="11" t="n"/>
      <c r="R177" s="11" t="n"/>
      <c r="S177" s="11">
        <f>IF(R177="","",TODAY()-R177)</f>
        <v/>
      </c>
      <c r="T177" s="11" t="n"/>
      <c r="U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>
        <f>IF(COUNT(J178:N178)=0,"",SUM(J178:N178))</f>
        <v/>
      </c>
      <c r="P178" s="11">
        <f>IF(O178="","",IF(O178&gt;=21,"S",IF(O178&gt;=17,"A",IF(O178&gt;=12,"B","C"))))</f>
        <v/>
      </c>
      <c r="Q178" s="11" t="n"/>
      <c r="R178" s="11" t="n"/>
      <c r="S178" s="11">
        <f>IF(R178="","",TODAY()-R178)</f>
        <v/>
      </c>
      <c r="T178" s="11" t="n"/>
      <c r="U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>
        <f>IF(COUNT(J179:N179)=0,"",SUM(J179:N179))</f>
        <v/>
      </c>
      <c r="P179" s="11">
        <f>IF(O179="","",IF(O179&gt;=21,"S",IF(O179&gt;=17,"A",IF(O179&gt;=12,"B","C"))))</f>
        <v/>
      </c>
      <c r="Q179" s="11" t="n"/>
      <c r="R179" s="11" t="n"/>
      <c r="S179" s="11">
        <f>IF(R179="","",TODAY()-R179)</f>
        <v/>
      </c>
      <c r="T179" s="11" t="n"/>
      <c r="U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>
        <f>IF(COUNT(J180:N180)=0,"",SUM(J180:N180))</f>
        <v/>
      </c>
      <c r="P180" s="11">
        <f>IF(O180="","",IF(O180&gt;=21,"S",IF(O180&gt;=17,"A",IF(O180&gt;=12,"B","C"))))</f>
        <v/>
      </c>
      <c r="Q180" s="11" t="n"/>
      <c r="R180" s="11" t="n"/>
      <c r="S180" s="11">
        <f>IF(R180="","",TODAY()-R180)</f>
        <v/>
      </c>
      <c r="T180" s="11" t="n"/>
      <c r="U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>
        <f>IF(COUNT(J181:N181)=0,"",SUM(J181:N181))</f>
        <v/>
      </c>
      <c r="P181" s="11">
        <f>IF(O181="","",IF(O181&gt;=21,"S",IF(O181&gt;=17,"A",IF(O181&gt;=12,"B","C"))))</f>
        <v/>
      </c>
      <c r="Q181" s="11" t="n"/>
      <c r="R181" s="11" t="n"/>
      <c r="S181" s="11">
        <f>IF(R181="","",TODAY()-R181)</f>
        <v/>
      </c>
      <c r="T181" s="11" t="n"/>
      <c r="U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>
        <f>IF(COUNT(J182:N182)=0,"",SUM(J182:N182))</f>
        <v/>
      </c>
      <c r="P182" s="11">
        <f>IF(O182="","",IF(O182&gt;=21,"S",IF(O182&gt;=17,"A",IF(O182&gt;=12,"B","C"))))</f>
        <v/>
      </c>
      <c r="Q182" s="11" t="n"/>
      <c r="R182" s="11" t="n"/>
      <c r="S182" s="11">
        <f>IF(R182="","",TODAY()-R182)</f>
        <v/>
      </c>
      <c r="T182" s="11" t="n"/>
      <c r="U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>
        <f>IF(COUNT(J183:N183)=0,"",SUM(J183:N183))</f>
        <v/>
      </c>
      <c r="P183" s="11">
        <f>IF(O183="","",IF(O183&gt;=21,"S",IF(O183&gt;=17,"A",IF(O183&gt;=12,"B","C"))))</f>
        <v/>
      </c>
      <c r="Q183" s="11" t="n"/>
      <c r="R183" s="11" t="n"/>
      <c r="S183" s="11">
        <f>IF(R183="","",TODAY()-R183)</f>
        <v/>
      </c>
      <c r="T183" s="11" t="n"/>
      <c r="U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>
        <f>IF(COUNT(J184:N184)=0,"",SUM(J184:N184))</f>
        <v/>
      </c>
      <c r="P184" s="11">
        <f>IF(O184="","",IF(O184&gt;=21,"S",IF(O184&gt;=17,"A",IF(O184&gt;=12,"B","C"))))</f>
        <v/>
      </c>
      <c r="Q184" s="11" t="n"/>
      <c r="R184" s="11" t="n"/>
      <c r="S184" s="11">
        <f>IF(R184="","",TODAY()-R184)</f>
        <v/>
      </c>
      <c r="T184" s="11" t="n"/>
      <c r="U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>
        <f>IF(COUNT(J185:N185)=0,"",SUM(J185:N185))</f>
        <v/>
      </c>
      <c r="P185" s="11">
        <f>IF(O185="","",IF(O185&gt;=21,"S",IF(O185&gt;=17,"A",IF(O185&gt;=12,"B","C"))))</f>
        <v/>
      </c>
      <c r="Q185" s="11" t="n"/>
      <c r="R185" s="11" t="n"/>
      <c r="S185" s="11">
        <f>IF(R185="","",TODAY()-R185)</f>
        <v/>
      </c>
      <c r="T185" s="11" t="n"/>
      <c r="U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>
        <f>IF(COUNT(J186:N186)=0,"",SUM(J186:N186))</f>
        <v/>
      </c>
      <c r="P186" s="11">
        <f>IF(O186="","",IF(O186&gt;=21,"S",IF(O186&gt;=17,"A",IF(O186&gt;=12,"B","C"))))</f>
        <v/>
      </c>
      <c r="Q186" s="11" t="n"/>
      <c r="R186" s="11" t="n"/>
      <c r="S186" s="11">
        <f>IF(R186="","",TODAY()-R186)</f>
        <v/>
      </c>
      <c r="T186" s="11" t="n"/>
      <c r="U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>
        <f>IF(COUNT(J187:N187)=0,"",SUM(J187:N187))</f>
        <v/>
      </c>
      <c r="P187" s="11">
        <f>IF(O187="","",IF(O187&gt;=21,"S",IF(O187&gt;=17,"A",IF(O187&gt;=12,"B","C"))))</f>
        <v/>
      </c>
      <c r="Q187" s="11" t="n"/>
      <c r="R187" s="11" t="n"/>
      <c r="S187" s="11">
        <f>IF(R187="","",TODAY()-R187)</f>
        <v/>
      </c>
      <c r="T187" s="11" t="n"/>
      <c r="U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>
        <f>IF(COUNT(J188:N188)=0,"",SUM(J188:N188))</f>
        <v/>
      </c>
      <c r="P188" s="11">
        <f>IF(O188="","",IF(O188&gt;=21,"S",IF(O188&gt;=17,"A",IF(O188&gt;=12,"B","C"))))</f>
        <v/>
      </c>
      <c r="Q188" s="11" t="n"/>
      <c r="R188" s="11" t="n"/>
      <c r="S188" s="11">
        <f>IF(R188="","",TODAY()-R188)</f>
        <v/>
      </c>
      <c r="T188" s="11" t="n"/>
      <c r="U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>
        <f>IF(COUNT(J189:N189)=0,"",SUM(J189:N189))</f>
        <v/>
      </c>
      <c r="P189" s="11">
        <f>IF(O189="","",IF(O189&gt;=21,"S",IF(O189&gt;=17,"A",IF(O189&gt;=12,"B","C"))))</f>
        <v/>
      </c>
      <c r="Q189" s="11" t="n"/>
      <c r="R189" s="11" t="n"/>
      <c r="S189" s="11">
        <f>IF(R189="","",TODAY()-R189)</f>
        <v/>
      </c>
      <c r="T189" s="11" t="n"/>
      <c r="U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>
        <f>IF(COUNT(J190:N190)=0,"",SUM(J190:N190))</f>
        <v/>
      </c>
      <c r="P190" s="11">
        <f>IF(O190="","",IF(O190&gt;=21,"S",IF(O190&gt;=17,"A",IF(O190&gt;=12,"B","C"))))</f>
        <v/>
      </c>
      <c r="Q190" s="11" t="n"/>
      <c r="R190" s="11" t="n"/>
      <c r="S190" s="11">
        <f>IF(R190="","",TODAY()-R190)</f>
        <v/>
      </c>
      <c r="T190" s="11" t="n"/>
      <c r="U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>
        <f>IF(COUNT(J191:N191)=0,"",SUM(J191:N191))</f>
        <v/>
      </c>
      <c r="P191" s="11">
        <f>IF(O191="","",IF(O191&gt;=21,"S",IF(O191&gt;=17,"A",IF(O191&gt;=12,"B","C"))))</f>
        <v/>
      </c>
      <c r="Q191" s="11" t="n"/>
      <c r="R191" s="11" t="n"/>
      <c r="S191" s="11">
        <f>IF(R191="","",TODAY()-R191)</f>
        <v/>
      </c>
      <c r="T191" s="11" t="n"/>
      <c r="U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>
        <f>IF(COUNT(J192:N192)=0,"",SUM(J192:N192))</f>
        <v/>
      </c>
      <c r="P192" s="11">
        <f>IF(O192="","",IF(O192&gt;=21,"S",IF(O192&gt;=17,"A",IF(O192&gt;=12,"B","C"))))</f>
        <v/>
      </c>
      <c r="Q192" s="11" t="n"/>
      <c r="R192" s="11" t="n"/>
      <c r="S192" s="11">
        <f>IF(R192="","",TODAY()-R192)</f>
        <v/>
      </c>
      <c r="T192" s="11" t="n"/>
      <c r="U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>
        <f>IF(COUNT(J193:N193)=0,"",SUM(J193:N193))</f>
        <v/>
      </c>
      <c r="P193" s="11">
        <f>IF(O193="","",IF(O193&gt;=21,"S",IF(O193&gt;=17,"A",IF(O193&gt;=12,"B","C"))))</f>
        <v/>
      </c>
      <c r="Q193" s="11" t="n"/>
      <c r="R193" s="11" t="n"/>
      <c r="S193" s="11">
        <f>IF(R193="","",TODAY()-R193)</f>
        <v/>
      </c>
      <c r="T193" s="11" t="n"/>
      <c r="U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>
        <f>IF(COUNT(J194:N194)=0,"",SUM(J194:N194))</f>
        <v/>
      </c>
      <c r="P194" s="11">
        <f>IF(O194="","",IF(O194&gt;=21,"S",IF(O194&gt;=17,"A",IF(O194&gt;=12,"B","C"))))</f>
        <v/>
      </c>
      <c r="Q194" s="11" t="n"/>
      <c r="R194" s="11" t="n"/>
      <c r="S194" s="11">
        <f>IF(R194="","",TODAY()-R194)</f>
        <v/>
      </c>
      <c r="T194" s="11" t="n"/>
      <c r="U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>
        <f>IF(COUNT(J195:N195)=0,"",SUM(J195:N195))</f>
        <v/>
      </c>
      <c r="P195" s="11">
        <f>IF(O195="","",IF(O195&gt;=21,"S",IF(O195&gt;=17,"A",IF(O195&gt;=12,"B","C"))))</f>
        <v/>
      </c>
      <c r="Q195" s="11" t="n"/>
      <c r="R195" s="11" t="n"/>
      <c r="S195" s="11">
        <f>IF(R195="","",TODAY()-R195)</f>
        <v/>
      </c>
      <c r="T195" s="11" t="n"/>
      <c r="U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>
        <f>IF(COUNT(J196:N196)=0,"",SUM(J196:N196))</f>
        <v/>
      </c>
      <c r="P196" s="11">
        <f>IF(O196="","",IF(O196&gt;=21,"S",IF(O196&gt;=17,"A",IF(O196&gt;=12,"B","C"))))</f>
        <v/>
      </c>
      <c r="Q196" s="11" t="n"/>
      <c r="R196" s="11" t="n"/>
      <c r="S196" s="11">
        <f>IF(R196="","",TODAY()-R196)</f>
        <v/>
      </c>
      <c r="T196" s="11" t="n"/>
      <c r="U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>
        <f>IF(COUNT(J197:N197)=0,"",SUM(J197:N197))</f>
        <v/>
      </c>
      <c r="P197" s="11">
        <f>IF(O197="","",IF(O197&gt;=21,"S",IF(O197&gt;=17,"A",IF(O197&gt;=12,"B","C"))))</f>
        <v/>
      </c>
      <c r="Q197" s="11" t="n"/>
      <c r="R197" s="11" t="n"/>
      <c r="S197" s="11">
        <f>IF(R197="","",TODAY()-R197)</f>
        <v/>
      </c>
      <c r="T197" s="11" t="n"/>
      <c r="U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>
        <f>IF(COUNT(J198:N198)=0,"",SUM(J198:N198))</f>
        <v/>
      </c>
      <c r="P198" s="11">
        <f>IF(O198="","",IF(O198&gt;=21,"S",IF(O198&gt;=17,"A",IF(O198&gt;=12,"B","C"))))</f>
        <v/>
      </c>
      <c r="Q198" s="11" t="n"/>
      <c r="R198" s="11" t="n"/>
      <c r="S198" s="11">
        <f>IF(R198="","",TODAY()-R198)</f>
        <v/>
      </c>
      <c r="T198" s="11" t="n"/>
      <c r="U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>
        <f>IF(COUNT(J199:N199)=0,"",SUM(J199:N199))</f>
        <v/>
      </c>
      <c r="P199" s="11">
        <f>IF(O199="","",IF(O199&gt;=21,"S",IF(O199&gt;=17,"A",IF(O199&gt;=12,"B","C"))))</f>
        <v/>
      </c>
      <c r="Q199" s="11" t="n"/>
      <c r="R199" s="11" t="n"/>
      <c r="S199" s="11">
        <f>IF(R199="","",TODAY()-R199)</f>
        <v/>
      </c>
      <c r="T199" s="11" t="n"/>
      <c r="U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>
        <f>IF(COUNT(J200:N200)=0,"",SUM(J200:N200))</f>
        <v/>
      </c>
      <c r="P200" s="11">
        <f>IF(O200="","",IF(O200&gt;=21,"S",IF(O200&gt;=17,"A",IF(O200&gt;=12,"B","C"))))</f>
        <v/>
      </c>
      <c r="Q200" s="11" t="n"/>
      <c r="R200" s="11" t="n"/>
      <c r="S200" s="11">
        <f>IF(R200="","",TODAY()-R200)</f>
        <v/>
      </c>
      <c r="T200" s="11" t="n"/>
      <c r="U200" s="11" t="n"/>
    </row>
  </sheetData>
  <autoFilter ref="A1:U200"/>
  <conditionalFormatting sqref="P2:Q200">
    <cfRule type="expression" priority="1" dxfId="0">
      <formula>P2="S"</formula>
    </cfRule>
  </conditionalFormatting>
  <dataValidations count="4">
    <dataValidation sqref="C2:C200" showDropDown="0" showInputMessage="0" showErrorMessage="0" allowBlank="1" type="list">
      <formula1>'マスタ設定'!$A$2:$A$13</formula1>
    </dataValidation>
    <dataValidation sqref="D2:D200" showDropDown="0" showInputMessage="0" showErrorMessage="0" allowBlank="1" type="list">
      <formula1>'マスタ設定'!$M$2:$M$6</formula1>
    </dataValidation>
    <dataValidation sqref="H2:H200" showDropDown="0" showInputMessage="0" showErrorMessage="0" allowBlank="1" type="list">
      <formula1>'マスタ設定'!$D$2:$D$4</formula1>
    </dataValidation>
    <dataValidation sqref="Q2:Q200" showDropDown="0" showInputMessage="0" showErrorMessage="0" allowBlank="1" type="list">
      <formula1>'マスタ設定'!$E$2:$E$5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2" customWidth="1" min="9" max="9"/>
    <col width="8" customWidth="1" min="10" max="10"/>
    <col width="10" customWidth="1" min="11" max="11"/>
    <col width="11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15" customWidth="1" min="21" max="21"/>
    <col width="12" customWidth="1" min="22" max="22"/>
    <col width="22" customWidth="1" min="23" max="23"/>
    <col width="11" customWidth="1" min="24" max="24"/>
    <col width="11" customWidth="1" min="25" max="25"/>
    <col width="8" customWidth="1" min="26" max="26"/>
    <col width="9" customWidth="1" min="27" max="27"/>
    <col width="9" customWidth="1" min="28" max="28"/>
    <col width="24" customWidth="1" min="29" max="29"/>
  </cols>
  <sheetData>
    <row r="1" ht="28" customHeight="1">
      <c r="A1" s="10" t="inlineStr">
        <is>
          <t>案件ID</t>
        </is>
      </c>
      <c r="B1" s="10" t="inlineStr">
        <is>
          <t>案件名</t>
        </is>
      </c>
      <c r="C1" s="10" t="inlineStr">
        <is>
          <t>顧客名</t>
        </is>
      </c>
      <c r="D1" s="10" t="inlineStr">
        <is>
          <t>営業領域</t>
        </is>
      </c>
      <c r="E1" s="10" t="inlineStr">
        <is>
          <t>担当者</t>
        </is>
      </c>
      <c r="F1" s="10" t="inlineStr">
        <is>
          <t>ステージ</t>
        </is>
      </c>
      <c r="G1" s="10" t="inlineStr">
        <is>
          <t>確度</t>
        </is>
      </c>
      <c r="H1" s="10" t="inlineStr">
        <is>
          <t>金額見込(千円)</t>
        </is>
      </c>
      <c r="I1" s="10" t="inlineStr">
        <is>
          <t>粗利見込(千円)</t>
        </is>
      </c>
      <c r="J1" s="10" t="inlineStr">
        <is>
          <t>粗利率</t>
        </is>
      </c>
      <c r="K1" s="10" t="inlineStr">
        <is>
          <t>想定総工数(h)</t>
        </is>
      </c>
      <c r="L1" s="10" t="inlineStr">
        <is>
          <t>粗利/工数(千円/h)</t>
        </is>
      </c>
      <c r="M1" s="10" t="inlineStr">
        <is>
          <t>売上(1-5)</t>
        </is>
      </c>
      <c r="N1" s="10" t="inlineStr">
        <is>
          <t>粗利(1-5)</t>
        </is>
      </c>
      <c r="O1" s="10" t="inlineStr">
        <is>
          <t>工数効率(1-5)</t>
        </is>
      </c>
      <c r="P1" s="10" t="inlineStr">
        <is>
          <t>戦略(1-5)</t>
        </is>
      </c>
      <c r="Q1" s="10" t="inlineStr">
        <is>
          <t>CRM(1-5)</t>
        </is>
      </c>
      <c r="R1" s="10" t="inlineStr">
        <is>
          <t>海外(1-5)</t>
        </is>
      </c>
      <c r="S1" s="10" t="inlineStr">
        <is>
          <t>ブランド(1-5)</t>
        </is>
      </c>
      <c r="T1" s="10" t="inlineStr">
        <is>
          <t>総合スコア(100)</t>
        </is>
      </c>
      <c r="U1" s="10" t="inlineStr">
        <is>
          <t>案件区分(自動)</t>
        </is>
      </c>
      <c r="V1" s="10" t="inlineStr">
        <is>
          <t>高工数低収益判定</t>
        </is>
      </c>
      <c r="W1" s="10" t="inlineStr">
        <is>
          <t>次アクション</t>
        </is>
      </c>
      <c r="X1" s="10" t="inlineStr">
        <is>
          <t>期限</t>
        </is>
      </c>
      <c r="Y1" s="10" t="inlineStr">
        <is>
          <t>最終更新日</t>
        </is>
      </c>
      <c r="Z1" s="10" t="inlineStr">
        <is>
          <t>停滞日数</t>
        </is>
      </c>
      <c r="AA1" s="10" t="inlineStr">
        <is>
          <t>停滞フラグ</t>
        </is>
      </c>
      <c r="AB1" s="10" t="inlineStr">
        <is>
          <t>トップ外交由来</t>
        </is>
      </c>
      <c r="AC1" s="10" t="inlineStr">
        <is>
          <t>メモ・リスク</t>
        </is>
      </c>
    </row>
    <row r="2">
      <c r="A2" s="11" t="inlineStr">
        <is>
          <t>D-0001</t>
        </is>
      </c>
      <c r="B2" s="11" t="inlineStr">
        <is>
          <t>（サンプル）A社 秋商戦MDライン</t>
        </is>
      </c>
      <c r="C2" s="11" t="inlineStr">
        <is>
          <t>（サンプル）玩具メーカーA社</t>
        </is>
      </c>
      <c r="D2" s="11" t="inlineStr">
        <is>
          <t>ライセンス</t>
        </is>
      </c>
      <c r="E2" s="11" t="inlineStr">
        <is>
          <t>担当者A</t>
        </is>
      </c>
      <c r="F2" s="11" t="inlineStr">
        <is>
          <t>提案</t>
        </is>
      </c>
      <c r="G2" s="11" t="inlineStr">
        <is>
          <t>中（50%）</t>
        </is>
      </c>
      <c r="H2" s="11" t="n">
        <v>80000</v>
      </c>
      <c r="I2" s="11" t="n">
        <v>28000</v>
      </c>
      <c r="J2" s="11">
        <f>IF(OR(H2="",H2=0),"",I2/H2)</f>
        <v/>
      </c>
      <c r="K2" s="11" t="n">
        <v>120</v>
      </c>
      <c r="L2" s="11">
        <f>IF(OR(K2="",K2=0),"",ROUND(I2/K2,1))</f>
        <v/>
      </c>
      <c r="M2" s="11" t="n">
        <v>4</v>
      </c>
      <c r="N2" s="11" t="n">
        <v>4</v>
      </c>
      <c r="O2" s="11" t="n">
        <v>3</v>
      </c>
      <c r="P2" s="11" t="n">
        <v>3</v>
      </c>
      <c r="Q2" s="11" t="n">
        <v>2</v>
      </c>
      <c r="R2" s="11" t="n">
        <v>3</v>
      </c>
      <c r="S2" s="11" t="n">
        <v>4</v>
      </c>
      <c r="T2" s="11">
        <f>IF(COUNT(M2:S2)&lt;7,"",ROUND(SUMPRODUCT(M2:S2,'マスタ設定'!$Q$2:$Q$8)*20,1))</f>
        <v/>
      </c>
      <c r="U2" s="11">
        <f>IF(T2="","",IF(T2&gt;='マスタ設定'!$S$5,"S：経営支援",IF(T2&gt;='マスタ設定'!$S$6,"A：重点",IF(T2&gt;='マスタ設定'!$S$7,"B：標準","C：省力化・撤退検討"))))</f>
        <v/>
      </c>
      <c r="V2" s="11">
        <f>IF(OR(L2="",K2=""),"",IF(AND(L2&lt;'マスタ設定'!$S$2,K2&gt;'マスタ設定'!$S$3),"要トリアージ",""))</f>
        <v/>
      </c>
      <c r="W2" s="11" t="inlineStr">
        <is>
          <t>提案書v2を7/15提出</t>
        </is>
      </c>
      <c r="X2" s="11" t="inlineStr">
        <is>
          <t>2026-07-15</t>
        </is>
      </c>
      <c r="Y2" s="11" t="inlineStr">
        <is>
          <t>2026-06-28</t>
        </is>
      </c>
      <c r="Z2" s="11">
        <f>IF(Y2="","",TODAY()-Y2)</f>
        <v/>
      </c>
      <c r="AA2" s="11">
        <f>IF(Z2="","",IF(Z2&gt;'マスタ設定'!$S$4,"停滞",""))</f>
        <v/>
      </c>
      <c r="AB2" s="11" t="inlineStr"/>
      <c r="AC2" s="11" t="inlineStr">
        <is>
          <t>サンプル行：M〜S列にスコアを入れると自動計算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>
        <f>IF(OR(H3="",H3=0),"",I3/H3)</f>
        <v/>
      </c>
      <c r="K3" s="11" t="n"/>
      <c r="L3" s="11">
        <f>IF(OR(K3="",K3=0),"",ROUND(I3/K3,1))</f>
        <v/>
      </c>
      <c r="M3" s="11" t="n"/>
      <c r="N3" s="11" t="n"/>
      <c r="O3" s="11" t="n"/>
      <c r="P3" s="11" t="n"/>
      <c r="Q3" s="11" t="n"/>
      <c r="R3" s="11" t="n"/>
      <c r="S3" s="11" t="n"/>
      <c r="T3" s="11">
        <f>IF(COUNT(M3:S3)&lt;7,"",ROUND(SUMPRODUCT(M3:S3,'マスタ設定'!$Q$2:$Q$8)*20,1))</f>
        <v/>
      </c>
      <c r="U3" s="11">
        <f>IF(T3="","",IF(T3&gt;='マスタ設定'!$S$5,"S：経営支援",IF(T3&gt;='マスタ設定'!$S$6,"A：重点",IF(T3&gt;='マスタ設定'!$S$7,"B：標準","C：省力化・撤退検討"))))</f>
        <v/>
      </c>
      <c r="V3" s="11">
        <f>IF(OR(L3="",K3=""),"",IF(AND(L3&lt;'マスタ設定'!$S$2,K3&gt;'マスタ設定'!$S$3),"要トリアージ",""))</f>
        <v/>
      </c>
      <c r="W3" s="11" t="n"/>
      <c r="X3" s="11" t="n"/>
      <c r="Y3" s="11" t="n"/>
      <c r="Z3" s="11">
        <f>IF(Y3="","",TODAY()-Y3)</f>
        <v/>
      </c>
      <c r="AA3" s="11">
        <f>IF(Z3="","",IF(Z3&gt;'マスタ設定'!$S$4,"停滞",""))</f>
        <v/>
      </c>
      <c r="AB3" s="11" t="n"/>
      <c r="AC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>
        <f>IF(OR(H4="",H4=0),"",I4/H4)</f>
        <v/>
      </c>
      <c r="K4" s="11" t="n"/>
      <c r="L4" s="11">
        <f>IF(OR(K4="",K4=0),"",ROUND(I4/K4,1))</f>
        <v/>
      </c>
      <c r="M4" s="11" t="n"/>
      <c r="N4" s="11" t="n"/>
      <c r="O4" s="11" t="n"/>
      <c r="P4" s="11" t="n"/>
      <c r="Q4" s="11" t="n"/>
      <c r="R4" s="11" t="n"/>
      <c r="S4" s="11" t="n"/>
      <c r="T4" s="11">
        <f>IF(COUNT(M4:S4)&lt;7,"",ROUND(SUMPRODUCT(M4:S4,'マスタ設定'!$Q$2:$Q$8)*20,1))</f>
        <v/>
      </c>
      <c r="U4" s="11">
        <f>IF(T4="","",IF(T4&gt;='マスタ設定'!$S$5,"S：経営支援",IF(T4&gt;='マスタ設定'!$S$6,"A：重点",IF(T4&gt;='マスタ設定'!$S$7,"B：標準","C：省力化・撤退検討"))))</f>
        <v/>
      </c>
      <c r="V4" s="11">
        <f>IF(OR(L4="",K4=""),"",IF(AND(L4&lt;'マスタ設定'!$S$2,K4&gt;'マスタ設定'!$S$3),"要トリアージ",""))</f>
        <v/>
      </c>
      <c r="W4" s="11" t="n"/>
      <c r="X4" s="11" t="n"/>
      <c r="Y4" s="11" t="n"/>
      <c r="Z4" s="11">
        <f>IF(Y4="","",TODAY()-Y4)</f>
        <v/>
      </c>
      <c r="AA4" s="11">
        <f>IF(Z4="","",IF(Z4&gt;'マスタ設定'!$S$4,"停滞",""))</f>
        <v/>
      </c>
      <c r="AB4" s="11" t="n"/>
      <c r="AC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>
        <f>IF(OR(H5="",H5=0),"",I5/H5)</f>
        <v/>
      </c>
      <c r="K5" s="11" t="n"/>
      <c r="L5" s="11">
        <f>IF(OR(K5="",K5=0),"",ROUND(I5/K5,1))</f>
        <v/>
      </c>
      <c r="M5" s="11" t="n"/>
      <c r="N5" s="11" t="n"/>
      <c r="O5" s="11" t="n"/>
      <c r="P5" s="11" t="n"/>
      <c r="Q5" s="11" t="n"/>
      <c r="R5" s="11" t="n"/>
      <c r="S5" s="11" t="n"/>
      <c r="T5" s="11">
        <f>IF(COUNT(M5:S5)&lt;7,"",ROUND(SUMPRODUCT(M5:S5,'マスタ設定'!$Q$2:$Q$8)*20,1))</f>
        <v/>
      </c>
      <c r="U5" s="11">
        <f>IF(T5="","",IF(T5&gt;='マスタ設定'!$S$5,"S：経営支援",IF(T5&gt;='マスタ設定'!$S$6,"A：重点",IF(T5&gt;='マスタ設定'!$S$7,"B：標準","C：省力化・撤退検討"))))</f>
        <v/>
      </c>
      <c r="V5" s="11">
        <f>IF(OR(L5="",K5=""),"",IF(AND(L5&lt;'マスタ設定'!$S$2,K5&gt;'マスタ設定'!$S$3),"要トリアージ",""))</f>
        <v/>
      </c>
      <c r="W5" s="11" t="n"/>
      <c r="X5" s="11" t="n"/>
      <c r="Y5" s="11" t="n"/>
      <c r="Z5" s="11">
        <f>IF(Y5="","",TODAY()-Y5)</f>
        <v/>
      </c>
      <c r="AA5" s="11">
        <f>IF(Z5="","",IF(Z5&gt;'マスタ設定'!$S$4,"停滞",""))</f>
        <v/>
      </c>
      <c r="AB5" s="11" t="n"/>
      <c r="AC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>
        <f>IF(OR(H6="",H6=0),"",I6/H6)</f>
        <v/>
      </c>
      <c r="K6" s="11" t="n"/>
      <c r="L6" s="11">
        <f>IF(OR(K6="",K6=0),"",ROUND(I6/K6,1))</f>
        <v/>
      </c>
      <c r="M6" s="11" t="n"/>
      <c r="N6" s="11" t="n"/>
      <c r="O6" s="11" t="n"/>
      <c r="P6" s="11" t="n"/>
      <c r="Q6" s="11" t="n"/>
      <c r="R6" s="11" t="n"/>
      <c r="S6" s="11" t="n"/>
      <c r="T6" s="11">
        <f>IF(COUNT(M6:S6)&lt;7,"",ROUND(SUMPRODUCT(M6:S6,'マスタ設定'!$Q$2:$Q$8)*20,1))</f>
        <v/>
      </c>
      <c r="U6" s="11">
        <f>IF(T6="","",IF(T6&gt;='マスタ設定'!$S$5,"S：経営支援",IF(T6&gt;='マスタ設定'!$S$6,"A：重点",IF(T6&gt;='マスタ設定'!$S$7,"B：標準","C：省力化・撤退検討"))))</f>
        <v/>
      </c>
      <c r="V6" s="11">
        <f>IF(OR(L6="",K6=""),"",IF(AND(L6&lt;'マスタ設定'!$S$2,K6&gt;'マスタ設定'!$S$3),"要トリアージ",""))</f>
        <v/>
      </c>
      <c r="W6" s="11" t="n"/>
      <c r="X6" s="11" t="n"/>
      <c r="Y6" s="11" t="n"/>
      <c r="Z6" s="11">
        <f>IF(Y6="","",TODAY()-Y6)</f>
        <v/>
      </c>
      <c r="AA6" s="11">
        <f>IF(Z6="","",IF(Z6&gt;'マスタ設定'!$S$4,"停滞",""))</f>
        <v/>
      </c>
      <c r="AB6" s="11" t="n"/>
      <c r="AC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>
        <f>IF(OR(H7="",H7=0),"",I7/H7)</f>
        <v/>
      </c>
      <c r="K7" s="11" t="n"/>
      <c r="L7" s="11">
        <f>IF(OR(K7="",K7=0),"",ROUND(I7/K7,1))</f>
        <v/>
      </c>
      <c r="M7" s="11" t="n"/>
      <c r="N7" s="11" t="n"/>
      <c r="O7" s="11" t="n"/>
      <c r="P7" s="11" t="n"/>
      <c r="Q7" s="11" t="n"/>
      <c r="R7" s="11" t="n"/>
      <c r="S7" s="11" t="n"/>
      <c r="T7" s="11">
        <f>IF(COUNT(M7:S7)&lt;7,"",ROUND(SUMPRODUCT(M7:S7,'マスタ設定'!$Q$2:$Q$8)*20,1))</f>
        <v/>
      </c>
      <c r="U7" s="11">
        <f>IF(T7="","",IF(T7&gt;='マスタ設定'!$S$5,"S：経営支援",IF(T7&gt;='マスタ設定'!$S$6,"A：重点",IF(T7&gt;='マスタ設定'!$S$7,"B：標準","C：省力化・撤退検討"))))</f>
        <v/>
      </c>
      <c r="V7" s="11">
        <f>IF(OR(L7="",K7=""),"",IF(AND(L7&lt;'マスタ設定'!$S$2,K7&gt;'マスタ設定'!$S$3),"要トリアージ",""))</f>
        <v/>
      </c>
      <c r="W7" s="11" t="n"/>
      <c r="X7" s="11" t="n"/>
      <c r="Y7" s="11" t="n"/>
      <c r="Z7" s="11">
        <f>IF(Y7="","",TODAY()-Y7)</f>
        <v/>
      </c>
      <c r="AA7" s="11">
        <f>IF(Z7="","",IF(Z7&gt;'マスタ設定'!$S$4,"停滞",""))</f>
        <v/>
      </c>
      <c r="AB7" s="11" t="n"/>
      <c r="AC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>
        <f>IF(OR(H8="",H8=0),"",I8/H8)</f>
        <v/>
      </c>
      <c r="K8" s="11" t="n"/>
      <c r="L8" s="11">
        <f>IF(OR(K8="",K8=0),"",ROUND(I8/K8,1))</f>
        <v/>
      </c>
      <c r="M8" s="11" t="n"/>
      <c r="N8" s="11" t="n"/>
      <c r="O8" s="11" t="n"/>
      <c r="P8" s="11" t="n"/>
      <c r="Q8" s="11" t="n"/>
      <c r="R8" s="11" t="n"/>
      <c r="S8" s="11" t="n"/>
      <c r="T8" s="11">
        <f>IF(COUNT(M8:S8)&lt;7,"",ROUND(SUMPRODUCT(M8:S8,'マスタ設定'!$Q$2:$Q$8)*20,1))</f>
        <v/>
      </c>
      <c r="U8" s="11">
        <f>IF(T8="","",IF(T8&gt;='マスタ設定'!$S$5,"S：経営支援",IF(T8&gt;='マスタ設定'!$S$6,"A：重点",IF(T8&gt;='マスタ設定'!$S$7,"B：標準","C：省力化・撤退検討"))))</f>
        <v/>
      </c>
      <c r="V8" s="11">
        <f>IF(OR(L8="",K8=""),"",IF(AND(L8&lt;'マスタ設定'!$S$2,K8&gt;'マスタ設定'!$S$3),"要トリアージ",""))</f>
        <v/>
      </c>
      <c r="W8" s="11" t="n"/>
      <c r="X8" s="11" t="n"/>
      <c r="Y8" s="11" t="n"/>
      <c r="Z8" s="11">
        <f>IF(Y8="","",TODAY()-Y8)</f>
        <v/>
      </c>
      <c r="AA8" s="11">
        <f>IF(Z8="","",IF(Z8&gt;'マスタ設定'!$S$4,"停滞",""))</f>
        <v/>
      </c>
      <c r="AB8" s="11" t="n"/>
      <c r="AC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>
        <f>IF(OR(H9="",H9=0),"",I9/H9)</f>
        <v/>
      </c>
      <c r="K9" s="11" t="n"/>
      <c r="L9" s="11">
        <f>IF(OR(K9="",K9=0),"",ROUND(I9/K9,1))</f>
        <v/>
      </c>
      <c r="M9" s="11" t="n"/>
      <c r="N9" s="11" t="n"/>
      <c r="O9" s="11" t="n"/>
      <c r="P9" s="11" t="n"/>
      <c r="Q9" s="11" t="n"/>
      <c r="R9" s="11" t="n"/>
      <c r="S9" s="11" t="n"/>
      <c r="T9" s="11">
        <f>IF(COUNT(M9:S9)&lt;7,"",ROUND(SUMPRODUCT(M9:S9,'マスタ設定'!$Q$2:$Q$8)*20,1))</f>
        <v/>
      </c>
      <c r="U9" s="11">
        <f>IF(T9="","",IF(T9&gt;='マスタ設定'!$S$5,"S：経営支援",IF(T9&gt;='マスタ設定'!$S$6,"A：重点",IF(T9&gt;='マスタ設定'!$S$7,"B：標準","C：省力化・撤退検討"))))</f>
        <v/>
      </c>
      <c r="V9" s="11">
        <f>IF(OR(L9="",K9=""),"",IF(AND(L9&lt;'マスタ設定'!$S$2,K9&gt;'マスタ設定'!$S$3),"要トリアージ",""))</f>
        <v/>
      </c>
      <c r="W9" s="11" t="n"/>
      <c r="X9" s="11" t="n"/>
      <c r="Y9" s="11" t="n"/>
      <c r="Z9" s="11">
        <f>IF(Y9="","",TODAY()-Y9)</f>
        <v/>
      </c>
      <c r="AA9" s="11">
        <f>IF(Z9="","",IF(Z9&gt;'マスタ設定'!$S$4,"停滞",""))</f>
        <v/>
      </c>
      <c r="AB9" s="11" t="n"/>
      <c r="AC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>
        <f>IF(OR(H10="",H10=0),"",I10/H10)</f>
        <v/>
      </c>
      <c r="K10" s="11" t="n"/>
      <c r="L10" s="11">
        <f>IF(OR(K10="",K10=0),"",ROUND(I10/K10,1))</f>
        <v/>
      </c>
      <c r="M10" s="11" t="n"/>
      <c r="N10" s="11" t="n"/>
      <c r="O10" s="11" t="n"/>
      <c r="P10" s="11" t="n"/>
      <c r="Q10" s="11" t="n"/>
      <c r="R10" s="11" t="n"/>
      <c r="S10" s="11" t="n"/>
      <c r="T10" s="11">
        <f>IF(COUNT(M10:S10)&lt;7,"",ROUND(SUMPRODUCT(M10:S10,'マスタ設定'!$Q$2:$Q$8)*20,1))</f>
        <v/>
      </c>
      <c r="U10" s="11">
        <f>IF(T10="","",IF(T10&gt;='マスタ設定'!$S$5,"S：経営支援",IF(T10&gt;='マスタ設定'!$S$6,"A：重点",IF(T10&gt;='マスタ設定'!$S$7,"B：標準","C：省力化・撤退検討"))))</f>
        <v/>
      </c>
      <c r="V10" s="11">
        <f>IF(OR(L10="",K10=""),"",IF(AND(L10&lt;'マスタ設定'!$S$2,K10&gt;'マスタ設定'!$S$3),"要トリアージ",""))</f>
        <v/>
      </c>
      <c r="W10" s="11" t="n"/>
      <c r="X10" s="11" t="n"/>
      <c r="Y10" s="11" t="n"/>
      <c r="Z10" s="11">
        <f>IF(Y10="","",TODAY()-Y10)</f>
        <v/>
      </c>
      <c r="AA10" s="11">
        <f>IF(Z10="","",IF(Z10&gt;'マスタ設定'!$S$4,"停滞",""))</f>
        <v/>
      </c>
      <c r="AB10" s="11" t="n"/>
      <c r="AC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>
        <f>IF(OR(H11="",H11=0),"",I11/H11)</f>
        <v/>
      </c>
      <c r="K11" s="11" t="n"/>
      <c r="L11" s="11">
        <f>IF(OR(K11="",K11=0),"",ROUND(I11/K11,1))</f>
        <v/>
      </c>
      <c r="M11" s="11" t="n"/>
      <c r="N11" s="11" t="n"/>
      <c r="O11" s="11" t="n"/>
      <c r="P11" s="11" t="n"/>
      <c r="Q11" s="11" t="n"/>
      <c r="R11" s="11" t="n"/>
      <c r="S11" s="11" t="n"/>
      <c r="T11" s="11">
        <f>IF(COUNT(M11:S11)&lt;7,"",ROUND(SUMPRODUCT(M11:S11,'マスタ設定'!$Q$2:$Q$8)*20,1))</f>
        <v/>
      </c>
      <c r="U11" s="11">
        <f>IF(T11="","",IF(T11&gt;='マスタ設定'!$S$5,"S：経営支援",IF(T11&gt;='マスタ設定'!$S$6,"A：重点",IF(T11&gt;='マスタ設定'!$S$7,"B：標準","C：省力化・撤退検討"))))</f>
        <v/>
      </c>
      <c r="V11" s="11">
        <f>IF(OR(L11="",K11=""),"",IF(AND(L11&lt;'マスタ設定'!$S$2,K11&gt;'マスタ設定'!$S$3),"要トリアージ",""))</f>
        <v/>
      </c>
      <c r="W11" s="11" t="n"/>
      <c r="X11" s="11" t="n"/>
      <c r="Y11" s="11" t="n"/>
      <c r="Z11" s="11">
        <f>IF(Y11="","",TODAY()-Y11)</f>
        <v/>
      </c>
      <c r="AA11" s="11">
        <f>IF(Z11="","",IF(Z11&gt;'マスタ設定'!$S$4,"停滞",""))</f>
        <v/>
      </c>
      <c r="AB11" s="11" t="n"/>
      <c r="AC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>
        <f>IF(OR(H12="",H12=0),"",I12/H12)</f>
        <v/>
      </c>
      <c r="K12" s="11" t="n"/>
      <c r="L12" s="11">
        <f>IF(OR(K12="",K12=0),"",ROUND(I12/K12,1))</f>
        <v/>
      </c>
      <c r="M12" s="11" t="n"/>
      <c r="N12" s="11" t="n"/>
      <c r="O12" s="11" t="n"/>
      <c r="P12" s="11" t="n"/>
      <c r="Q12" s="11" t="n"/>
      <c r="R12" s="11" t="n"/>
      <c r="S12" s="11" t="n"/>
      <c r="T12" s="11">
        <f>IF(COUNT(M12:S12)&lt;7,"",ROUND(SUMPRODUCT(M12:S12,'マスタ設定'!$Q$2:$Q$8)*20,1))</f>
        <v/>
      </c>
      <c r="U12" s="11">
        <f>IF(T12="","",IF(T12&gt;='マスタ設定'!$S$5,"S：経営支援",IF(T12&gt;='マスタ設定'!$S$6,"A：重点",IF(T12&gt;='マスタ設定'!$S$7,"B：標準","C：省力化・撤退検討"))))</f>
        <v/>
      </c>
      <c r="V12" s="11">
        <f>IF(OR(L12="",K12=""),"",IF(AND(L12&lt;'マスタ設定'!$S$2,K12&gt;'マスタ設定'!$S$3),"要トリアージ",""))</f>
        <v/>
      </c>
      <c r="W12" s="11" t="n"/>
      <c r="X12" s="11" t="n"/>
      <c r="Y12" s="11" t="n"/>
      <c r="Z12" s="11">
        <f>IF(Y12="","",TODAY()-Y12)</f>
        <v/>
      </c>
      <c r="AA12" s="11">
        <f>IF(Z12="","",IF(Z12&gt;'マスタ設定'!$S$4,"停滞",""))</f>
        <v/>
      </c>
      <c r="AB12" s="11" t="n"/>
      <c r="AC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>
        <f>IF(OR(H13="",H13=0),"",I13/H13)</f>
        <v/>
      </c>
      <c r="K13" s="11" t="n"/>
      <c r="L13" s="11">
        <f>IF(OR(K13="",K13=0),"",ROUND(I13/K13,1))</f>
        <v/>
      </c>
      <c r="M13" s="11" t="n"/>
      <c r="N13" s="11" t="n"/>
      <c r="O13" s="11" t="n"/>
      <c r="P13" s="11" t="n"/>
      <c r="Q13" s="11" t="n"/>
      <c r="R13" s="11" t="n"/>
      <c r="S13" s="11" t="n"/>
      <c r="T13" s="11">
        <f>IF(COUNT(M13:S13)&lt;7,"",ROUND(SUMPRODUCT(M13:S13,'マスタ設定'!$Q$2:$Q$8)*20,1))</f>
        <v/>
      </c>
      <c r="U13" s="11">
        <f>IF(T13="","",IF(T13&gt;='マスタ設定'!$S$5,"S：経営支援",IF(T13&gt;='マスタ設定'!$S$6,"A：重点",IF(T13&gt;='マスタ設定'!$S$7,"B：標準","C：省力化・撤退検討"))))</f>
        <v/>
      </c>
      <c r="V13" s="11">
        <f>IF(OR(L13="",K13=""),"",IF(AND(L13&lt;'マスタ設定'!$S$2,K13&gt;'マスタ設定'!$S$3),"要トリアージ",""))</f>
        <v/>
      </c>
      <c r="W13" s="11" t="n"/>
      <c r="X13" s="11" t="n"/>
      <c r="Y13" s="11" t="n"/>
      <c r="Z13" s="11">
        <f>IF(Y13="","",TODAY()-Y13)</f>
        <v/>
      </c>
      <c r="AA13" s="11">
        <f>IF(Z13="","",IF(Z13&gt;'マスタ設定'!$S$4,"停滞",""))</f>
        <v/>
      </c>
      <c r="AB13" s="11" t="n"/>
      <c r="AC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>
        <f>IF(OR(H14="",H14=0),"",I14/H14)</f>
        <v/>
      </c>
      <c r="K14" s="11" t="n"/>
      <c r="L14" s="11">
        <f>IF(OR(K14="",K14=0),"",ROUND(I14/K14,1))</f>
        <v/>
      </c>
      <c r="M14" s="11" t="n"/>
      <c r="N14" s="11" t="n"/>
      <c r="O14" s="11" t="n"/>
      <c r="P14" s="11" t="n"/>
      <c r="Q14" s="11" t="n"/>
      <c r="R14" s="11" t="n"/>
      <c r="S14" s="11" t="n"/>
      <c r="T14" s="11">
        <f>IF(COUNT(M14:S14)&lt;7,"",ROUND(SUMPRODUCT(M14:S14,'マスタ設定'!$Q$2:$Q$8)*20,1))</f>
        <v/>
      </c>
      <c r="U14" s="11">
        <f>IF(T14="","",IF(T14&gt;='マスタ設定'!$S$5,"S：経営支援",IF(T14&gt;='マスタ設定'!$S$6,"A：重点",IF(T14&gt;='マスタ設定'!$S$7,"B：標準","C：省力化・撤退検討"))))</f>
        <v/>
      </c>
      <c r="V14" s="11">
        <f>IF(OR(L14="",K14=""),"",IF(AND(L14&lt;'マスタ設定'!$S$2,K14&gt;'マスタ設定'!$S$3),"要トリアージ",""))</f>
        <v/>
      </c>
      <c r="W14" s="11" t="n"/>
      <c r="X14" s="11" t="n"/>
      <c r="Y14" s="11" t="n"/>
      <c r="Z14" s="11">
        <f>IF(Y14="","",TODAY()-Y14)</f>
        <v/>
      </c>
      <c r="AA14" s="11">
        <f>IF(Z14="","",IF(Z14&gt;'マスタ設定'!$S$4,"停滞",""))</f>
        <v/>
      </c>
      <c r="AB14" s="11" t="n"/>
      <c r="AC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>
        <f>IF(OR(H15="",H15=0),"",I15/H15)</f>
        <v/>
      </c>
      <c r="K15" s="11" t="n"/>
      <c r="L15" s="11">
        <f>IF(OR(K15="",K15=0),"",ROUND(I15/K15,1))</f>
        <v/>
      </c>
      <c r="M15" s="11" t="n"/>
      <c r="N15" s="11" t="n"/>
      <c r="O15" s="11" t="n"/>
      <c r="P15" s="11" t="n"/>
      <c r="Q15" s="11" t="n"/>
      <c r="R15" s="11" t="n"/>
      <c r="S15" s="11" t="n"/>
      <c r="T15" s="11">
        <f>IF(COUNT(M15:S15)&lt;7,"",ROUND(SUMPRODUCT(M15:S15,'マスタ設定'!$Q$2:$Q$8)*20,1))</f>
        <v/>
      </c>
      <c r="U15" s="11">
        <f>IF(T15="","",IF(T15&gt;='マスタ設定'!$S$5,"S：経営支援",IF(T15&gt;='マスタ設定'!$S$6,"A：重点",IF(T15&gt;='マスタ設定'!$S$7,"B：標準","C：省力化・撤退検討"))))</f>
        <v/>
      </c>
      <c r="V15" s="11">
        <f>IF(OR(L15="",K15=""),"",IF(AND(L15&lt;'マスタ設定'!$S$2,K15&gt;'マスタ設定'!$S$3),"要トリアージ",""))</f>
        <v/>
      </c>
      <c r="W15" s="11" t="n"/>
      <c r="X15" s="11" t="n"/>
      <c r="Y15" s="11" t="n"/>
      <c r="Z15" s="11">
        <f>IF(Y15="","",TODAY()-Y15)</f>
        <v/>
      </c>
      <c r="AA15" s="11">
        <f>IF(Z15="","",IF(Z15&gt;'マスタ設定'!$S$4,"停滞",""))</f>
        <v/>
      </c>
      <c r="AB15" s="11" t="n"/>
      <c r="AC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>
        <f>IF(OR(H16="",H16=0),"",I16/H16)</f>
        <v/>
      </c>
      <c r="K16" s="11" t="n"/>
      <c r="L16" s="11">
        <f>IF(OR(K16="",K16=0),"",ROUND(I16/K16,1))</f>
        <v/>
      </c>
      <c r="M16" s="11" t="n"/>
      <c r="N16" s="11" t="n"/>
      <c r="O16" s="11" t="n"/>
      <c r="P16" s="11" t="n"/>
      <c r="Q16" s="11" t="n"/>
      <c r="R16" s="11" t="n"/>
      <c r="S16" s="11" t="n"/>
      <c r="T16" s="11">
        <f>IF(COUNT(M16:S16)&lt;7,"",ROUND(SUMPRODUCT(M16:S16,'マスタ設定'!$Q$2:$Q$8)*20,1))</f>
        <v/>
      </c>
      <c r="U16" s="11">
        <f>IF(T16="","",IF(T16&gt;='マスタ設定'!$S$5,"S：経営支援",IF(T16&gt;='マスタ設定'!$S$6,"A：重点",IF(T16&gt;='マスタ設定'!$S$7,"B：標準","C：省力化・撤退検討"))))</f>
        <v/>
      </c>
      <c r="V16" s="11">
        <f>IF(OR(L16="",K16=""),"",IF(AND(L16&lt;'マスタ設定'!$S$2,K16&gt;'マスタ設定'!$S$3),"要トリアージ",""))</f>
        <v/>
      </c>
      <c r="W16" s="11" t="n"/>
      <c r="X16" s="11" t="n"/>
      <c r="Y16" s="11" t="n"/>
      <c r="Z16" s="11">
        <f>IF(Y16="","",TODAY()-Y16)</f>
        <v/>
      </c>
      <c r="AA16" s="11">
        <f>IF(Z16="","",IF(Z16&gt;'マスタ設定'!$S$4,"停滞",""))</f>
        <v/>
      </c>
      <c r="AB16" s="11" t="n"/>
      <c r="AC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>
        <f>IF(OR(H17="",H17=0),"",I17/H17)</f>
        <v/>
      </c>
      <c r="K17" s="11" t="n"/>
      <c r="L17" s="11">
        <f>IF(OR(K17="",K17=0),"",ROUND(I17/K17,1))</f>
        <v/>
      </c>
      <c r="M17" s="11" t="n"/>
      <c r="N17" s="11" t="n"/>
      <c r="O17" s="11" t="n"/>
      <c r="P17" s="11" t="n"/>
      <c r="Q17" s="11" t="n"/>
      <c r="R17" s="11" t="n"/>
      <c r="S17" s="11" t="n"/>
      <c r="T17" s="11">
        <f>IF(COUNT(M17:S17)&lt;7,"",ROUND(SUMPRODUCT(M17:S17,'マスタ設定'!$Q$2:$Q$8)*20,1))</f>
        <v/>
      </c>
      <c r="U17" s="11">
        <f>IF(T17="","",IF(T17&gt;='マスタ設定'!$S$5,"S：経営支援",IF(T17&gt;='マスタ設定'!$S$6,"A：重点",IF(T17&gt;='マスタ設定'!$S$7,"B：標準","C：省力化・撤退検討"))))</f>
        <v/>
      </c>
      <c r="V17" s="11">
        <f>IF(OR(L17="",K17=""),"",IF(AND(L17&lt;'マスタ設定'!$S$2,K17&gt;'マスタ設定'!$S$3),"要トリアージ",""))</f>
        <v/>
      </c>
      <c r="W17" s="11" t="n"/>
      <c r="X17" s="11" t="n"/>
      <c r="Y17" s="11" t="n"/>
      <c r="Z17" s="11">
        <f>IF(Y17="","",TODAY()-Y17)</f>
        <v/>
      </c>
      <c r="AA17" s="11">
        <f>IF(Z17="","",IF(Z17&gt;'マスタ設定'!$S$4,"停滞",""))</f>
        <v/>
      </c>
      <c r="AB17" s="11" t="n"/>
      <c r="AC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>
        <f>IF(OR(H18="",H18=0),"",I18/H18)</f>
        <v/>
      </c>
      <c r="K18" s="11" t="n"/>
      <c r="L18" s="11">
        <f>IF(OR(K18="",K18=0),"",ROUND(I18/K18,1))</f>
        <v/>
      </c>
      <c r="M18" s="11" t="n"/>
      <c r="N18" s="11" t="n"/>
      <c r="O18" s="11" t="n"/>
      <c r="P18" s="11" t="n"/>
      <c r="Q18" s="11" t="n"/>
      <c r="R18" s="11" t="n"/>
      <c r="S18" s="11" t="n"/>
      <c r="T18" s="11">
        <f>IF(COUNT(M18:S18)&lt;7,"",ROUND(SUMPRODUCT(M18:S18,'マスタ設定'!$Q$2:$Q$8)*20,1))</f>
        <v/>
      </c>
      <c r="U18" s="11">
        <f>IF(T18="","",IF(T18&gt;='マスタ設定'!$S$5,"S：経営支援",IF(T18&gt;='マスタ設定'!$S$6,"A：重点",IF(T18&gt;='マスタ設定'!$S$7,"B：標準","C：省力化・撤退検討"))))</f>
        <v/>
      </c>
      <c r="V18" s="11">
        <f>IF(OR(L18="",K18=""),"",IF(AND(L18&lt;'マスタ設定'!$S$2,K18&gt;'マスタ設定'!$S$3),"要トリアージ",""))</f>
        <v/>
      </c>
      <c r="W18" s="11" t="n"/>
      <c r="X18" s="11" t="n"/>
      <c r="Y18" s="11" t="n"/>
      <c r="Z18" s="11">
        <f>IF(Y18="","",TODAY()-Y18)</f>
        <v/>
      </c>
      <c r="AA18" s="11">
        <f>IF(Z18="","",IF(Z18&gt;'マスタ設定'!$S$4,"停滞",""))</f>
        <v/>
      </c>
      <c r="AB18" s="11" t="n"/>
      <c r="AC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>
        <f>IF(OR(H19="",H19=0),"",I19/H19)</f>
        <v/>
      </c>
      <c r="K19" s="11" t="n"/>
      <c r="L19" s="11">
        <f>IF(OR(K19="",K19=0),"",ROUND(I19/K19,1))</f>
        <v/>
      </c>
      <c r="M19" s="11" t="n"/>
      <c r="N19" s="11" t="n"/>
      <c r="O19" s="11" t="n"/>
      <c r="P19" s="11" t="n"/>
      <c r="Q19" s="11" t="n"/>
      <c r="R19" s="11" t="n"/>
      <c r="S19" s="11" t="n"/>
      <c r="T19" s="11">
        <f>IF(COUNT(M19:S19)&lt;7,"",ROUND(SUMPRODUCT(M19:S19,'マスタ設定'!$Q$2:$Q$8)*20,1))</f>
        <v/>
      </c>
      <c r="U19" s="11">
        <f>IF(T19="","",IF(T19&gt;='マスタ設定'!$S$5,"S：経営支援",IF(T19&gt;='マスタ設定'!$S$6,"A：重点",IF(T19&gt;='マスタ設定'!$S$7,"B：標準","C：省力化・撤退検討"))))</f>
        <v/>
      </c>
      <c r="V19" s="11">
        <f>IF(OR(L19="",K19=""),"",IF(AND(L19&lt;'マスタ設定'!$S$2,K19&gt;'マスタ設定'!$S$3),"要トリアージ",""))</f>
        <v/>
      </c>
      <c r="W19" s="11" t="n"/>
      <c r="X19" s="11" t="n"/>
      <c r="Y19" s="11" t="n"/>
      <c r="Z19" s="11">
        <f>IF(Y19="","",TODAY()-Y19)</f>
        <v/>
      </c>
      <c r="AA19" s="11">
        <f>IF(Z19="","",IF(Z19&gt;'マスタ設定'!$S$4,"停滞",""))</f>
        <v/>
      </c>
      <c r="AB19" s="11" t="n"/>
      <c r="AC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>
        <f>IF(OR(H20="",H20=0),"",I20/H20)</f>
        <v/>
      </c>
      <c r="K20" s="11" t="n"/>
      <c r="L20" s="11">
        <f>IF(OR(K20="",K20=0),"",ROUND(I20/K20,1))</f>
        <v/>
      </c>
      <c r="M20" s="11" t="n"/>
      <c r="N20" s="11" t="n"/>
      <c r="O20" s="11" t="n"/>
      <c r="P20" s="11" t="n"/>
      <c r="Q20" s="11" t="n"/>
      <c r="R20" s="11" t="n"/>
      <c r="S20" s="11" t="n"/>
      <c r="T20" s="11">
        <f>IF(COUNT(M20:S20)&lt;7,"",ROUND(SUMPRODUCT(M20:S20,'マスタ設定'!$Q$2:$Q$8)*20,1))</f>
        <v/>
      </c>
      <c r="U20" s="11">
        <f>IF(T20="","",IF(T20&gt;='マスタ設定'!$S$5,"S：経営支援",IF(T20&gt;='マスタ設定'!$S$6,"A：重点",IF(T20&gt;='マスタ設定'!$S$7,"B：標準","C：省力化・撤退検討"))))</f>
        <v/>
      </c>
      <c r="V20" s="11">
        <f>IF(OR(L20="",K20=""),"",IF(AND(L20&lt;'マスタ設定'!$S$2,K20&gt;'マスタ設定'!$S$3),"要トリアージ",""))</f>
        <v/>
      </c>
      <c r="W20" s="11" t="n"/>
      <c r="X20" s="11" t="n"/>
      <c r="Y20" s="11" t="n"/>
      <c r="Z20" s="11">
        <f>IF(Y20="","",TODAY()-Y20)</f>
        <v/>
      </c>
      <c r="AA20" s="11">
        <f>IF(Z20="","",IF(Z20&gt;'マスタ設定'!$S$4,"停滞",""))</f>
        <v/>
      </c>
      <c r="AB20" s="11" t="n"/>
      <c r="AC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>
        <f>IF(OR(H21="",H21=0),"",I21/H21)</f>
        <v/>
      </c>
      <c r="K21" s="11" t="n"/>
      <c r="L21" s="11">
        <f>IF(OR(K21="",K21=0),"",ROUND(I21/K21,1))</f>
        <v/>
      </c>
      <c r="M21" s="11" t="n"/>
      <c r="N21" s="11" t="n"/>
      <c r="O21" s="11" t="n"/>
      <c r="P21" s="11" t="n"/>
      <c r="Q21" s="11" t="n"/>
      <c r="R21" s="11" t="n"/>
      <c r="S21" s="11" t="n"/>
      <c r="T21" s="11">
        <f>IF(COUNT(M21:S21)&lt;7,"",ROUND(SUMPRODUCT(M21:S21,'マスタ設定'!$Q$2:$Q$8)*20,1))</f>
        <v/>
      </c>
      <c r="U21" s="11">
        <f>IF(T21="","",IF(T21&gt;='マスタ設定'!$S$5,"S：経営支援",IF(T21&gt;='マスタ設定'!$S$6,"A：重点",IF(T21&gt;='マスタ設定'!$S$7,"B：標準","C：省力化・撤退検討"))))</f>
        <v/>
      </c>
      <c r="V21" s="11">
        <f>IF(OR(L21="",K21=""),"",IF(AND(L21&lt;'マスタ設定'!$S$2,K21&gt;'マスタ設定'!$S$3),"要トリアージ",""))</f>
        <v/>
      </c>
      <c r="W21" s="11" t="n"/>
      <c r="X21" s="11" t="n"/>
      <c r="Y21" s="11" t="n"/>
      <c r="Z21" s="11">
        <f>IF(Y21="","",TODAY()-Y21)</f>
        <v/>
      </c>
      <c r="AA21" s="11">
        <f>IF(Z21="","",IF(Z21&gt;'マスタ設定'!$S$4,"停滞",""))</f>
        <v/>
      </c>
      <c r="AB21" s="11" t="n"/>
      <c r="AC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>
        <f>IF(OR(H22="",H22=0),"",I22/H22)</f>
        <v/>
      </c>
      <c r="K22" s="11" t="n"/>
      <c r="L22" s="11">
        <f>IF(OR(K22="",K22=0),"",ROUND(I22/K22,1))</f>
        <v/>
      </c>
      <c r="M22" s="11" t="n"/>
      <c r="N22" s="11" t="n"/>
      <c r="O22" s="11" t="n"/>
      <c r="P22" s="11" t="n"/>
      <c r="Q22" s="11" t="n"/>
      <c r="R22" s="11" t="n"/>
      <c r="S22" s="11" t="n"/>
      <c r="T22" s="11">
        <f>IF(COUNT(M22:S22)&lt;7,"",ROUND(SUMPRODUCT(M22:S22,'マスタ設定'!$Q$2:$Q$8)*20,1))</f>
        <v/>
      </c>
      <c r="U22" s="11">
        <f>IF(T22="","",IF(T22&gt;='マスタ設定'!$S$5,"S：経営支援",IF(T22&gt;='マスタ設定'!$S$6,"A：重点",IF(T22&gt;='マスタ設定'!$S$7,"B：標準","C：省力化・撤退検討"))))</f>
        <v/>
      </c>
      <c r="V22" s="11">
        <f>IF(OR(L22="",K22=""),"",IF(AND(L22&lt;'マスタ設定'!$S$2,K22&gt;'マスタ設定'!$S$3),"要トリアージ",""))</f>
        <v/>
      </c>
      <c r="W22" s="11" t="n"/>
      <c r="X22" s="11" t="n"/>
      <c r="Y22" s="11" t="n"/>
      <c r="Z22" s="11">
        <f>IF(Y22="","",TODAY()-Y22)</f>
        <v/>
      </c>
      <c r="AA22" s="11">
        <f>IF(Z22="","",IF(Z22&gt;'マスタ設定'!$S$4,"停滞",""))</f>
        <v/>
      </c>
      <c r="AB22" s="11" t="n"/>
      <c r="AC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>
        <f>IF(OR(H23="",H23=0),"",I23/H23)</f>
        <v/>
      </c>
      <c r="K23" s="11" t="n"/>
      <c r="L23" s="11">
        <f>IF(OR(K23="",K23=0),"",ROUND(I23/K23,1))</f>
        <v/>
      </c>
      <c r="M23" s="11" t="n"/>
      <c r="N23" s="11" t="n"/>
      <c r="O23" s="11" t="n"/>
      <c r="P23" s="11" t="n"/>
      <c r="Q23" s="11" t="n"/>
      <c r="R23" s="11" t="n"/>
      <c r="S23" s="11" t="n"/>
      <c r="T23" s="11">
        <f>IF(COUNT(M23:S23)&lt;7,"",ROUND(SUMPRODUCT(M23:S23,'マスタ設定'!$Q$2:$Q$8)*20,1))</f>
        <v/>
      </c>
      <c r="U23" s="11">
        <f>IF(T23="","",IF(T23&gt;='マスタ設定'!$S$5,"S：経営支援",IF(T23&gt;='マスタ設定'!$S$6,"A：重点",IF(T23&gt;='マスタ設定'!$S$7,"B：標準","C：省力化・撤退検討"))))</f>
        <v/>
      </c>
      <c r="V23" s="11">
        <f>IF(OR(L23="",K23=""),"",IF(AND(L23&lt;'マスタ設定'!$S$2,K23&gt;'マスタ設定'!$S$3),"要トリアージ",""))</f>
        <v/>
      </c>
      <c r="W23" s="11" t="n"/>
      <c r="X23" s="11" t="n"/>
      <c r="Y23" s="11" t="n"/>
      <c r="Z23" s="11">
        <f>IF(Y23="","",TODAY()-Y23)</f>
        <v/>
      </c>
      <c r="AA23" s="11">
        <f>IF(Z23="","",IF(Z23&gt;'マスタ設定'!$S$4,"停滞",""))</f>
        <v/>
      </c>
      <c r="AB23" s="11" t="n"/>
      <c r="AC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>
        <f>IF(OR(H24="",H24=0),"",I24/H24)</f>
        <v/>
      </c>
      <c r="K24" s="11" t="n"/>
      <c r="L24" s="11">
        <f>IF(OR(K24="",K24=0),"",ROUND(I24/K24,1))</f>
        <v/>
      </c>
      <c r="M24" s="11" t="n"/>
      <c r="N24" s="11" t="n"/>
      <c r="O24" s="11" t="n"/>
      <c r="P24" s="11" t="n"/>
      <c r="Q24" s="11" t="n"/>
      <c r="R24" s="11" t="n"/>
      <c r="S24" s="11" t="n"/>
      <c r="T24" s="11">
        <f>IF(COUNT(M24:S24)&lt;7,"",ROUND(SUMPRODUCT(M24:S24,'マスタ設定'!$Q$2:$Q$8)*20,1))</f>
        <v/>
      </c>
      <c r="U24" s="11">
        <f>IF(T24="","",IF(T24&gt;='マスタ設定'!$S$5,"S：経営支援",IF(T24&gt;='マスタ設定'!$S$6,"A：重点",IF(T24&gt;='マスタ設定'!$S$7,"B：標準","C：省力化・撤退検討"))))</f>
        <v/>
      </c>
      <c r="V24" s="11">
        <f>IF(OR(L24="",K24=""),"",IF(AND(L24&lt;'マスタ設定'!$S$2,K24&gt;'マスタ設定'!$S$3),"要トリアージ",""))</f>
        <v/>
      </c>
      <c r="W24" s="11" t="n"/>
      <c r="X24" s="11" t="n"/>
      <c r="Y24" s="11" t="n"/>
      <c r="Z24" s="11">
        <f>IF(Y24="","",TODAY()-Y24)</f>
        <v/>
      </c>
      <c r="AA24" s="11">
        <f>IF(Z24="","",IF(Z24&gt;'マスタ設定'!$S$4,"停滞",""))</f>
        <v/>
      </c>
      <c r="AB24" s="11" t="n"/>
      <c r="AC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>
        <f>IF(OR(H25="",H25=0),"",I25/H25)</f>
        <v/>
      </c>
      <c r="K25" s="11" t="n"/>
      <c r="L25" s="11">
        <f>IF(OR(K25="",K25=0),"",ROUND(I25/K25,1))</f>
        <v/>
      </c>
      <c r="M25" s="11" t="n"/>
      <c r="N25" s="11" t="n"/>
      <c r="O25" s="11" t="n"/>
      <c r="P25" s="11" t="n"/>
      <c r="Q25" s="11" t="n"/>
      <c r="R25" s="11" t="n"/>
      <c r="S25" s="11" t="n"/>
      <c r="T25" s="11">
        <f>IF(COUNT(M25:S25)&lt;7,"",ROUND(SUMPRODUCT(M25:S25,'マスタ設定'!$Q$2:$Q$8)*20,1))</f>
        <v/>
      </c>
      <c r="U25" s="11">
        <f>IF(T25="","",IF(T25&gt;='マスタ設定'!$S$5,"S：経営支援",IF(T25&gt;='マスタ設定'!$S$6,"A：重点",IF(T25&gt;='マスタ設定'!$S$7,"B：標準","C：省力化・撤退検討"))))</f>
        <v/>
      </c>
      <c r="V25" s="11">
        <f>IF(OR(L25="",K25=""),"",IF(AND(L25&lt;'マスタ設定'!$S$2,K25&gt;'マスタ設定'!$S$3),"要トリアージ",""))</f>
        <v/>
      </c>
      <c r="W25" s="11" t="n"/>
      <c r="X25" s="11" t="n"/>
      <c r="Y25" s="11" t="n"/>
      <c r="Z25" s="11">
        <f>IF(Y25="","",TODAY()-Y25)</f>
        <v/>
      </c>
      <c r="AA25" s="11">
        <f>IF(Z25="","",IF(Z25&gt;'マスタ設定'!$S$4,"停滞",""))</f>
        <v/>
      </c>
      <c r="AB25" s="11" t="n"/>
      <c r="AC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>
        <f>IF(OR(H26="",H26=0),"",I26/H26)</f>
        <v/>
      </c>
      <c r="K26" s="11" t="n"/>
      <c r="L26" s="11">
        <f>IF(OR(K26="",K26=0),"",ROUND(I26/K26,1))</f>
        <v/>
      </c>
      <c r="M26" s="11" t="n"/>
      <c r="N26" s="11" t="n"/>
      <c r="O26" s="11" t="n"/>
      <c r="P26" s="11" t="n"/>
      <c r="Q26" s="11" t="n"/>
      <c r="R26" s="11" t="n"/>
      <c r="S26" s="11" t="n"/>
      <c r="T26" s="11">
        <f>IF(COUNT(M26:S26)&lt;7,"",ROUND(SUMPRODUCT(M26:S26,'マスタ設定'!$Q$2:$Q$8)*20,1))</f>
        <v/>
      </c>
      <c r="U26" s="11">
        <f>IF(T26="","",IF(T26&gt;='マスタ設定'!$S$5,"S：経営支援",IF(T26&gt;='マスタ設定'!$S$6,"A：重点",IF(T26&gt;='マスタ設定'!$S$7,"B：標準","C：省力化・撤退検討"))))</f>
        <v/>
      </c>
      <c r="V26" s="11">
        <f>IF(OR(L26="",K26=""),"",IF(AND(L26&lt;'マスタ設定'!$S$2,K26&gt;'マスタ設定'!$S$3),"要トリアージ",""))</f>
        <v/>
      </c>
      <c r="W26" s="11" t="n"/>
      <c r="X26" s="11" t="n"/>
      <c r="Y26" s="11" t="n"/>
      <c r="Z26" s="11">
        <f>IF(Y26="","",TODAY()-Y26)</f>
        <v/>
      </c>
      <c r="AA26" s="11">
        <f>IF(Z26="","",IF(Z26&gt;'マスタ設定'!$S$4,"停滞",""))</f>
        <v/>
      </c>
      <c r="AB26" s="11" t="n"/>
      <c r="AC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>
        <f>IF(OR(H27="",H27=0),"",I27/H27)</f>
        <v/>
      </c>
      <c r="K27" s="11" t="n"/>
      <c r="L27" s="11">
        <f>IF(OR(K27="",K27=0),"",ROUND(I27/K27,1))</f>
        <v/>
      </c>
      <c r="M27" s="11" t="n"/>
      <c r="N27" s="11" t="n"/>
      <c r="O27" s="11" t="n"/>
      <c r="P27" s="11" t="n"/>
      <c r="Q27" s="11" t="n"/>
      <c r="R27" s="11" t="n"/>
      <c r="S27" s="11" t="n"/>
      <c r="T27" s="11">
        <f>IF(COUNT(M27:S27)&lt;7,"",ROUND(SUMPRODUCT(M27:S27,'マスタ設定'!$Q$2:$Q$8)*20,1))</f>
        <v/>
      </c>
      <c r="U27" s="11">
        <f>IF(T27="","",IF(T27&gt;='マスタ設定'!$S$5,"S：経営支援",IF(T27&gt;='マスタ設定'!$S$6,"A：重点",IF(T27&gt;='マスタ設定'!$S$7,"B：標準","C：省力化・撤退検討"))))</f>
        <v/>
      </c>
      <c r="V27" s="11">
        <f>IF(OR(L27="",K27=""),"",IF(AND(L27&lt;'マスタ設定'!$S$2,K27&gt;'マスタ設定'!$S$3),"要トリアージ",""))</f>
        <v/>
      </c>
      <c r="W27" s="11" t="n"/>
      <c r="X27" s="11" t="n"/>
      <c r="Y27" s="11" t="n"/>
      <c r="Z27" s="11">
        <f>IF(Y27="","",TODAY()-Y27)</f>
        <v/>
      </c>
      <c r="AA27" s="11">
        <f>IF(Z27="","",IF(Z27&gt;'マスタ設定'!$S$4,"停滞",""))</f>
        <v/>
      </c>
      <c r="AB27" s="11" t="n"/>
      <c r="AC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>
        <f>IF(OR(H28="",H28=0),"",I28/H28)</f>
        <v/>
      </c>
      <c r="K28" s="11" t="n"/>
      <c r="L28" s="11">
        <f>IF(OR(K28="",K28=0),"",ROUND(I28/K28,1))</f>
        <v/>
      </c>
      <c r="M28" s="11" t="n"/>
      <c r="N28" s="11" t="n"/>
      <c r="O28" s="11" t="n"/>
      <c r="P28" s="11" t="n"/>
      <c r="Q28" s="11" t="n"/>
      <c r="R28" s="11" t="n"/>
      <c r="S28" s="11" t="n"/>
      <c r="T28" s="11">
        <f>IF(COUNT(M28:S28)&lt;7,"",ROUND(SUMPRODUCT(M28:S28,'マスタ設定'!$Q$2:$Q$8)*20,1))</f>
        <v/>
      </c>
      <c r="U28" s="11">
        <f>IF(T28="","",IF(T28&gt;='マスタ設定'!$S$5,"S：経営支援",IF(T28&gt;='マスタ設定'!$S$6,"A：重点",IF(T28&gt;='マスタ設定'!$S$7,"B：標準","C：省力化・撤退検討"))))</f>
        <v/>
      </c>
      <c r="V28" s="11">
        <f>IF(OR(L28="",K28=""),"",IF(AND(L28&lt;'マスタ設定'!$S$2,K28&gt;'マスタ設定'!$S$3),"要トリアージ",""))</f>
        <v/>
      </c>
      <c r="W28" s="11" t="n"/>
      <c r="X28" s="11" t="n"/>
      <c r="Y28" s="11" t="n"/>
      <c r="Z28" s="11">
        <f>IF(Y28="","",TODAY()-Y28)</f>
        <v/>
      </c>
      <c r="AA28" s="11">
        <f>IF(Z28="","",IF(Z28&gt;'マスタ設定'!$S$4,"停滞",""))</f>
        <v/>
      </c>
      <c r="AB28" s="11" t="n"/>
      <c r="AC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>
        <f>IF(OR(H29="",H29=0),"",I29/H29)</f>
        <v/>
      </c>
      <c r="K29" s="11" t="n"/>
      <c r="L29" s="11">
        <f>IF(OR(K29="",K29=0),"",ROUND(I29/K29,1))</f>
        <v/>
      </c>
      <c r="M29" s="11" t="n"/>
      <c r="N29" s="11" t="n"/>
      <c r="O29" s="11" t="n"/>
      <c r="P29" s="11" t="n"/>
      <c r="Q29" s="11" t="n"/>
      <c r="R29" s="11" t="n"/>
      <c r="S29" s="11" t="n"/>
      <c r="T29" s="11">
        <f>IF(COUNT(M29:S29)&lt;7,"",ROUND(SUMPRODUCT(M29:S29,'マスタ設定'!$Q$2:$Q$8)*20,1))</f>
        <v/>
      </c>
      <c r="U29" s="11">
        <f>IF(T29="","",IF(T29&gt;='マスタ設定'!$S$5,"S：経営支援",IF(T29&gt;='マスタ設定'!$S$6,"A：重点",IF(T29&gt;='マスタ設定'!$S$7,"B：標準","C：省力化・撤退検討"))))</f>
        <v/>
      </c>
      <c r="V29" s="11">
        <f>IF(OR(L29="",K29=""),"",IF(AND(L29&lt;'マスタ設定'!$S$2,K29&gt;'マスタ設定'!$S$3),"要トリアージ",""))</f>
        <v/>
      </c>
      <c r="W29" s="11" t="n"/>
      <c r="X29" s="11" t="n"/>
      <c r="Y29" s="11" t="n"/>
      <c r="Z29" s="11">
        <f>IF(Y29="","",TODAY()-Y29)</f>
        <v/>
      </c>
      <c r="AA29" s="11">
        <f>IF(Z29="","",IF(Z29&gt;'マスタ設定'!$S$4,"停滞",""))</f>
        <v/>
      </c>
      <c r="AB29" s="11" t="n"/>
      <c r="AC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>
        <f>IF(OR(H30="",H30=0),"",I30/H30)</f>
        <v/>
      </c>
      <c r="K30" s="11" t="n"/>
      <c r="L30" s="11">
        <f>IF(OR(K30="",K30=0),"",ROUND(I30/K30,1))</f>
        <v/>
      </c>
      <c r="M30" s="11" t="n"/>
      <c r="N30" s="11" t="n"/>
      <c r="O30" s="11" t="n"/>
      <c r="P30" s="11" t="n"/>
      <c r="Q30" s="11" t="n"/>
      <c r="R30" s="11" t="n"/>
      <c r="S30" s="11" t="n"/>
      <c r="T30" s="11">
        <f>IF(COUNT(M30:S30)&lt;7,"",ROUND(SUMPRODUCT(M30:S30,'マスタ設定'!$Q$2:$Q$8)*20,1))</f>
        <v/>
      </c>
      <c r="U30" s="11">
        <f>IF(T30="","",IF(T30&gt;='マスタ設定'!$S$5,"S：経営支援",IF(T30&gt;='マスタ設定'!$S$6,"A：重点",IF(T30&gt;='マスタ設定'!$S$7,"B：標準","C：省力化・撤退検討"))))</f>
        <v/>
      </c>
      <c r="V30" s="11">
        <f>IF(OR(L30="",K30=""),"",IF(AND(L30&lt;'マスタ設定'!$S$2,K30&gt;'マスタ設定'!$S$3),"要トリアージ",""))</f>
        <v/>
      </c>
      <c r="W30" s="11" t="n"/>
      <c r="X30" s="11" t="n"/>
      <c r="Y30" s="11" t="n"/>
      <c r="Z30" s="11">
        <f>IF(Y30="","",TODAY()-Y30)</f>
        <v/>
      </c>
      <c r="AA30" s="11">
        <f>IF(Z30="","",IF(Z30&gt;'マスタ設定'!$S$4,"停滞",""))</f>
        <v/>
      </c>
      <c r="AB30" s="11" t="n"/>
      <c r="AC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>
        <f>IF(OR(H31="",H31=0),"",I31/H31)</f>
        <v/>
      </c>
      <c r="K31" s="11" t="n"/>
      <c r="L31" s="11">
        <f>IF(OR(K31="",K31=0),"",ROUND(I31/K31,1))</f>
        <v/>
      </c>
      <c r="M31" s="11" t="n"/>
      <c r="N31" s="11" t="n"/>
      <c r="O31" s="11" t="n"/>
      <c r="P31" s="11" t="n"/>
      <c r="Q31" s="11" t="n"/>
      <c r="R31" s="11" t="n"/>
      <c r="S31" s="11" t="n"/>
      <c r="T31" s="11">
        <f>IF(COUNT(M31:S31)&lt;7,"",ROUND(SUMPRODUCT(M31:S31,'マスタ設定'!$Q$2:$Q$8)*20,1))</f>
        <v/>
      </c>
      <c r="U31" s="11">
        <f>IF(T31="","",IF(T31&gt;='マスタ設定'!$S$5,"S：経営支援",IF(T31&gt;='マスタ設定'!$S$6,"A：重点",IF(T31&gt;='マスタ設定'!$S$7,"B：標準","C：省力化・撤退検討"))))</f>
        <v/>
      </c>
      <c r="V31" s="11">
        <f>IF(OR(L31="",K31=""),"",IF(AND(L31&lt;'マスタ設定'!$S$2,K31&gt;'マスタ設定'!$S$3),"要トリアージ",""))</f>
        <v/>
      </c>
      <c r="W31" s="11" t="n"/>
      <c r="X31" s="11" t="n"/>
      <c r="Y31" s="11" t="n"/>
      <c r="Z31" s="11">
        <f>IF(Y31="","",TODAY()-Y31)</f>
        <v/>
      </c>
      <c r="AA31" s="11">
        <f>IF(Z31="","",IF(Z31&gt;'マスタ設定'!$S$4,"停滞",""))</f>
        <v/>
      </c>
      <c r="AB31" s="11" t="n"/>
      <c r="AC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>
        <f>IF(OR(H32="",H32=0),"",I32/H32)</f>
        <v/>
      </c>
      <c r="K32" s="11" t="n"/>
      <c r="L32" s="11">
        <f>IF(OR(K32="",K32=0),"",ROUND(I32/K32,1))</f>
        <v/>
      </c>
      <c r="M32" s="11" t="n"/>
      <c r="N32" s="11" t="n"/>
      <c r="O32" s="11" t="n"/>
      <c r="P32" s="11" t="n"/>
      <c r="Q32" s="11" t="n"/>
      <c r="R32" s="11" t="n"/>
      <c r="S32" s="11" t="n"/>
      <c r="T32" s="11">
        <f>IF(COUNT(M32:S32)&lt;7,"",ROUND(SUMPRODUCT(M32:S32,'マスタ設定'!$Q$2:$Q$8)*20,1))</f>
        <v/>
      </c>
      <c r="U32" s="11">
        <f>IF(T32="","",IF(T32&gt;='マスタ設定'!$S$5,"S：経営支援",IF(T32&gt;='マスタ設定'!$S$6,"A：重点",IF(T32&gt;='マスタ設定'!$S$7,"B：標準","C：省力化・撤退検討"))))</f>
        <v/>
      </c>
      <c r="V32" s="11">
        <f>IF(OR(L32="",K32=""),"",IF(AND(L32&lt;'マスタ設定'!$S$2,K32&gt;'マスタ設定'!$S$3),"要トリアージ",""))</f>
        <v/>
      </c>
      <c r="W32" s="11" t="n"/>
      <c r="X32" s="11" t="n"/>
      <c r="Y32" s="11" t="n"/>
      <c r="Z32" s="11">
        <f>IF(Y32="","",TODAY()-Y32)</f>
        <v/>
      </c>
      <c r="AA32" s="11">
        <f>IF(Z32="","",IF(Z32&gt;'マスタ設定'!$S$4,"停滞",""))</f>
        <v/>
      </c>
      <c r="AB32" s="11" t="n"/>
      <c r="AC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>
        <f>IF(OR(H33="",H33=0),"",I33/H33)</f>
        <v/>
      </c>
      <c r="K33" s="11" t="n"/>
      <c r="L33" s="11">
        <f>IF(OR(K33="",K33=0),"",ROUND(I33/K33,1))</f>
        <v/>
      </c>
      <c r="M33" s="11" t="n"/>
      <c r="N33" s="11" t="n"/>
      <c r="O33" s="11" t="n"/>
      <c r="P33" s="11" t="n"/>
      <c r="Q33" s="11" t="n"/>
      <c r="R33" s="11" t="n"/>
      <c r="S33" s="11" t="n"/>
      <c r="T33" s="11">
        <f>IF(COUNT(M33:S33)&lt;7,"",ROUND(SUMPRODUCT(M33:S33,'マスタ設定'!$Q$2:$Q$8)*20,1))</f>
        <v/>
      </c>
      <c r="U33" s="11">
        <f>IF(T33="","",IF(T33&gt;='マスタ設定'!$S$5,"S：経営支援",IF(T33&gt;='マスタ設定'!$S$6,"A：重点",IF(T33&gt;='マスタ設定'!$S$7,"B：標準","C：省力化・撤退検討"))))</f>
        <v/>
      </c>
      <c r="V33" s="11">
        <f>IF(OR(L33="",K33=""),"",IF(AND(L33&lt;'マスタ設定'!$S$2,K33&gt;'マスタ設定'!$S$3),"要トリアージ",""))</f>
        <v/>
      </c>
      <c r="W33" s="11" t="n"/>
      <c r="X33" s="11" t="n"/>
      <c r="Y33" s="11" t="n"/>
      <c r="Z33" s="11">
        <f>IF(Y33="","",TODAY()-Y33)</f>
        <v/>
      </c>
      <c r="AA33" s="11">
        <f>IF(Z33="","",IF(Z33&gt;'マスタ設定'!$S$4,"停滞",""))</f>
        <v/>
      </c>
      <c r="AB33" s="11" t="n"/>
      <c r="AC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>
        <f>IF(OR(H34="",H34=0),"",I34/H34)</f>
        <v/>
      </c>
      <c r="K34" s="11" t="n"/>
      <c r="L34" s="11">
        <f>IF(OR(K34="",K34=0),"",ROUND(I34/K34,1))</f>
        <v/>
      </c>
      <c r="M34" s="11" t="n"/>
      <c r="N34" s="11" t="n"/>
      <c r="O34" s="11" t="n"/>
      <c r="P34" s="11" t="n"/>
      <c r="Q34" s="11" t="n"/>
      <c r="R34" s="11" t="n"/>
      <c r="S34" s="11" t="n"/>
      <c r="T34" s="11">
        <f>IF(COUNT(M34:S34)&lt;7,"",ROUND(SUMPRODUCT(M34:S34,'マスタ設定'!$Q$2:$Q$8)*20,1))</f>
        <v/>
      </c>
      <c r="U34" s="11">
        <f>IF(T34="","",IF(T34&gt;='マスタ設定'!$S$5,"S：経営支援",IF(T34&gt;='マスタ設定'!$S$6,"A：重点",IF(T34&gt;='マスタ設定'!$S$7,"B：標準","C：省力化・撤退検討"))))</f>
        <v/>
      </c>
      <c r="V34" s="11">
        <f>IF(OR(L34="",K34=""),"",IF(AND(L34&lt;'マスタ設定'!$S$2,K34&gt;'マスタ設定'!$S$3),"要トリアージ",""))</f>
        <v/>
      </c>
      <c r="W34" s="11" t="n"/>
      <c r="X34" s="11" t="n"/>
      <c r="Y34" s="11" t="n"/>
      <c r="Z34" s="11">
        <f>IF(Y34="","",TODAY()-Y34)</f>
        <v/>
      </c>
      <c r="AA34" s="11">
        <f>IF(Z34="","",IF(Z34&gt;'マスタ設定'!$S$4,"停滞",""))</f>
        <v/>
      </c>
      <c r="AB34" s="11" t="n"/>
      <c r="AC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>
        <f>IF(OR(H35="",H35=0),"",I35/H35)</f>
        <v/>
      </c>
      <c r="K35" s="11" t="n"/>
      <c r="L35" s="11">
        <f>IF(OR(K35="",K35=0),"",ROUND(I35/K35,1))</f>
        <v/>
      </c>
      <c r="M35" s="11" t="n"/>
      <c r="N35" s="11" t="n"/>
      <c r="O35" s="11" t="n"/>
      <c r="P35" s="11" t="n"/>
      <c r="Q35" s="11" t="n"/>
      <c r="R35" s="11" t="n"/>
      <c r="S35" s="11" t="n"/>
      <c r="T35" s="11">
        <f>IF(COUNT(M35:S35)&lt;7,"",ROUND(SUMPRODUCT(M35:S35,'マスタ設定'!$Q$2:$Q$8)*20,1))</f>
        <v/>
      </c>
      <c r="U35" s="11">
        <f>IF(T35="","",IF(T35&gt;='マスタ設定'!$S$5,"S：経営支援",IF(T35&gt;='マスタ設定'!$S$6,"A：重点",IF(T35&gt;='マスタ設定'!$S$7,"B：標準","C：省力化・撤退検討"))))</f>
        <v/>
      </c>
      <c r="V35" s="11">
        <f>IF(OR(L35="",K35=""),"",IF(AND(L35&lt;'マスタ設定'!$S$2,K35&gt;'マスタ設定'!$S$3),"要トリアージ",""))</f>
        <v/>
      </c>
      <c r="W35" s="11" t="n"/>
      <c r="X35" s="11" t="n"/>
      <c r="Y35" s="11" t="n"/>
      <c r="Z35" s="11">
        <f>IF(Y35="","",TODAY()-Y35)</f>
        <v/>
      </c>
      <c r="AA35" s="11">
        <f>IF(Z35="","",IF(Z35&gt;'マスタ設定'!$S$4,"停滞",""))</f>
        <v/>
      </c>
      <c r="AB35" s="11" t="n"/>
      <c r="AC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>
        <f>IF(OR(H36="",H36=0),"",I36/H36)</f>
        <v/>
      </c>
      <c r="K36" s="11" t="n"/>
      <c r="L36" s="11">
        <f>IF(OR(K36="",K36=0),"",ROUND(I36/K36,1))</f>
        <v/>
      </c>
      <c r="M36" s="11" t="n"/>
      <c r="N36" s="11" t="n"/>
      <c r="O36" s="11" t="n"/>
      <c r="P36" s="11" t="n"/>
      <c r="Q36" s="11" t="n"/>
      <c r="R36" s="11" t="n"/>
      <c r="S36" s="11" t="n"/>
      <c r="T36" s="11">
        <f>IF(COUNT(M36:S36)&lt;7,"",ROUND(SUMPRODUCT(M36:S36,'マスタ設定'!$Q$2:$Q$8)*20,1))</f>
        <v/>
      </c>
      <c r="U36" s="11">
        <f>IF(T36="","",IF(T36&gt;='マスタ設定'!$S$5,"S：経営支援",IF(T36&gt;='マスタ設定'!$S$6,"A：重点",IF(T36&gt;='マスタ設定'!$S$7,"B：標準","C：省力化・撤退検討"))))</f>
        <v/>
      </c>
      <c r="V36" s="11">
        <f>IF(OR(L36="",K36=""),"",IF(AND(L36&lt;'マスタ設定'!$S$2,K36&gt;'マスタ設定'!$S$3),"要トリアージ",""))</f>
        <v/>
      </c>
      <c r="W36" s="11" t="n"/>
      <c r="X36" s="11" t="n"/>
      <c r="Y36" s="11" t="n"/>
      <c r="Z36" s="11">
        <f>IF(Y36="","",TODAY()-Y36)</f>
        <v/>
      </c>
      <c r="AA36" s="11">
        <f>IF(Z36="","",IF(Z36&gt;'マスタ設定'!$S$4,"停滞",""))</f>
        <v/>
      </c>
      <c r="AB36" s="11" t="n"/>
      <c r="AC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>
        <f>IF(OR(H37="",H37=0),"",I37/H37)</f>
        <v/>
      </c>
      <c r="K37" s="11" t="n"/>
      <c r="L37" s="11">
        <f>IF(OR(K37="",K37=0),"",ROUND(I37/K37,1))</f>
        <v/>
      </c>
      <c r="M37" s="11" t="n"/>
      <c r="N37" s="11" t="n"/>
      <c r="O37" s="11" t="n"/>
      <c r="P37" s="11" t="n"/>
      <c r="Q37" s="11" t="n"/>
      <c r="R37" s="11" t="n"/>
      <c r="S37" s="11" t="n"/>
      <c r="T37" s="11">
        <f>IF(COUNT(M37:S37)&lt;7,"",ROUND(SUMPRODUCT(M37:S37,'マスタ設定'!$Q$2:$Q$8)*20,1))</f>
        <v/>
      </c>
      <c r="U37" s="11">
        <f>IF(T37="","",IF(T37&gt;='マスタ設定'!$S$5,"S：経営支援",IF(T37&gt;='マスタ設定'!$S$6,"A：重点",IF(T37&gt;='マスタ設定'!$S$7,"B：標準","C：省力化・撤退検討"))))</f>
        <v/>
      </c>
      <c r="V37" s="11">
        <f>IF(OR(L37="",K37=""),"",IF(AND(L37&lt;'マスタ設定'!$S$2,K37&gt;'マスタ設定'!$S$3),"要トリアージ",""))</f>
        <v/>
      </c>
      <c r="W37" s="11" t="n"/>
      <c r="X37" s="11" t="n"/>
      <c r="Y37" s="11" t="n"/>
      <c r="Z37" s="11">
        <f>IF(Y37="","",TODAY()-Y37)</f>
        <v/>
      </c>
      <c r="AA37" s="11">
        <f>IF(Z37="","",IF(Z37&gt;'マスタ設定'!$S$4,"停滞",""))</f>
        <v/>
      </c>
      <c r="AB37" s="11" t="n"/>
      <c r="AC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>
        <f>IF(OR(H38="",H38=0),"",I38/H38)</f>
        <v/>
      </c>
      <c r="K38" s="11" t="n"/>
      <c r="L38" s="11">
        <f>IF(OR(K38="",K38=0),"",ROUND(I38/K38,1))</f>
        <v/>
      </c>
      <c r="M38" s="11" t="n"/>
      <c r="N38" s="11" t="n"/>
      <c r="O38" s="11" t="n"/>
      <c r="P38" s="11" t="n"/>
      <c r="Q38" s="11" t="n"/>
      <c r="R38" s="11" t="n"/>
      <c r="S38" s="11" t="n"/>
      <c r="T38" s="11">
        <f>IF(COUNT(M38:S38)&lt;7,"",ROUND(SUMPRODUCT(M38:S38,'マスタ設定'!$Q$2:$Q$8)*20,1))</f>
        <v/>
      </c>
      <c r="U38" s="11">
        <f>IF(T38="","",IF(T38&gt;='マスタ設定'!$S$5,"S：経営支援",IF(T38&gt;='マスタ設定'!$S$6,"A：重点",IF(T38&gt;='マスタ設定'!$S$7,"B：標準","C：省力化・撤退検討"))))</f>
        <v/>
      </c>
      <c r="V38" s="11">
        <f>IF(OR(L38="",K38=""),"",IF(AND(L38&lt;'マスタ設定'!$S$2,K38&gt;'マスタ設定'!$S$3),"要トリアージ",""))</f>
        <v/>
      </c>
      <c r="W38" s="11" t="n"/>
      <c r="X38" s="11" t="n"/>
      <c r="Y38" s="11" t="n"/>
      <c r="Z38" s="11">
        <f>IF(Y38="","",TODAY()-Y38)</f>
        <v/>
      </c>
      <c r="AA38" s="11">
        <f>IF(Z38="","",IF(Z38&gt;'マスタ設定'!$S$4,"停滞",""))</f>
        <v/>
      </c>
      <c r="AB38" s="11" t="n"/>
      <c r="AC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>
        <f>IF(OR(H39="",H39=0),"",I39/H39)</f>
        <v/>
      </c>
      <c r="K39" s="11" t="n"/>
      <c r="L39" s="11">
        <f>IF(OR(K39="",K39=0),"",ROUND(I39/K39,1))</f>
        <v/>
      </c>
      <c r="M39" s="11" t="n"/>
      <c r="N39" s="11" t="n"/>
      <c r="O39" s="11" t="n"/>
      <c r="P39" s="11" t="n"/>
      <c r="Q39" s="11" t="n"/>
      <c r="R39" s="11" t="n"/>
      <c r="S39" s="11" t="n"/>
      <c r="T39" s="11">
        <f>IF(COUNT(M39:S39)&lt;7,"",ROUND(SUMPRODUCT(M39:S39,'マスタ設定'!$Q$2:$Q$8)*20,1))</f>
        <v/>
      </c>
      <c r="U39" s="11">
        <f>IF(T39="","",IF(T39&gt;='マスタ設定'!$S$5,"S：経営支援",IF(T39&gt;='マスタ設定'!$S$6,"A：重点",IF(T39&gt;='マスタ設定'!$S$7,"B：標準","C：省力化・撤退検討"))))</f>
        <v/>
      </c>
      <c r="V39" s="11">
        <f>IF(OR(L39="",K39=""),"",IF(AND(L39&lt;'マスタ設定'!$S$2,K39&gt;'マスタ設定'!$S$3),"要トリアージ",""))</f>
        <v/>
      </c>
      <c r="W39" s="11" t="n"/>
      <c r="X39" s="11" t="n"/>
      <c r="Y39" s="11" t="n"/>
      <c r="Z39" s="11">
        <f>IF(Y39="","",TODAY()-Y39)</f>
        <v/>
      </c>
      <c r="AA39" s="11">
        <f>IF(Z39="","",IF(Z39&gt;'マスタ設定'!$S$4,"停滞",""))</f>
        <v/>
      </c>
      <c r="AB39" s="11" t="n"/>
      <c r="AC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>
        <f>IF(OR(H40="",H40=0),"",I40/H40)</f>
        <v/>
      </c>
      <c r="K40" s="11" t="n"/>
      <c r="L40" s="11">
        <f>IF(OR(K40="",K40=0),"",ROUND(I40/K40,1))</f>
        <v/>
      </c>
      <c r="M40" s="11" t="n"/>
      <c r="N40" s="11" t="n"/>
      <c r="O40" s="11" t="n"/>
      <c r="P40" s="11" t="n"/>
      <c r="Q40" s="11" t="n"/>
      <c r="R40" s="11" t="n"/>
      <c r="S40" s="11" t="n"/>
      <c r="T40" s="11">
        <f>IF(COUNT(M40:S40)&lt;7,"",ROUND(SUMPRODUCT(M40:S40,'マスタ設定'!$Q$2:$Q$8)*20,1))</f>
        <v/>
      </c>
      <c r="U40" s="11">
        <f>IF(T40="","",IF(T40&gt;='マスタ設定'!$S$5,"S：経営支援",IF(T40&gt;='マスタ設定'!$S$6,"A：重点",IF(T40&gt;='マスタ設定'!$S$7,"B：標準","C：省力化・撤退検討"))))</f>
        <v/>
      </c>
      <c r="V40" s="11">
        <f>IF(OR(L40="",K40=""),"",IF(AND(L40&lt;'マスタ設定'!$S$2,K40&gt;'マスタ設定'!$S$3),"要トリアージ",""))</f>
        <v/>
      </c>
      <c r="W40" s="11" t="n"/>
      <c r="X40" s="11" t="n"/>
      <c r="Y40" s="11" t="n"/>
      <c r="Z40" s="11">
        <f>IF(Y40="","",TODAY()-Y40)</f>
        <v/>
      </c>
      <c r="AA40" s="11">
        <f>IF(Z40="","",IF(Z40&gt;'マスタ設定'!$S$4,"停滞",""))</f>
        <v/>
      </c>
      <c r="AB40" s="11" t="n"/>
      <c r="AC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>
        <f>IF(OR(H41="",H41=0),"",I41/H41)</f>
        <v/>
      </c>
      <c r="K41" s="11" t="n"/>
      <c r="L41" s="11">
        <f>IF(OR(K41="",K41=0),"",ROUND(I41/K41,1))</f>
        <v/>
      </c>
      <c r="M41" s="11" t="n"/>
      <c r="N41" s="11" t="n"/>
      <c r="O41" s="11" t="n"/>
      <c r="P41" s="11" t="n"/>
      <c r="Q41" s="11" t="n"/>
      <c r="R41" s="11" t="n"/>
      <c r="S41" s="11" t="n"/>
      <c r="T41" s="11">
        <f>IF(COUNT(M41:S41)&lt;7,"",ROUND(SUMPRODUCT(M41:S41,'マスタ設定'!$Q$2:$Q$8)*20,1))</f>
        <v/>
      </c>
      <c r="U41" s="11">
        <f>IF(T41="","",IF(T41&gt;='マスタ設定'!$S$5,"S：経営支援",IF(T41&gt;='マスタ設定'!$S$6,"A：重点",IF(T41&gt;='マスタ設定'!$S$7,"B：標準","C：省力化・撤退検討"))))</f>
        <v/>
      </c>
      <c r="V41" s="11">
        <f>IF(OR(L41="",K41=""),"",IF(AND(L41&lt;'マスタ設定'!$S$2,K41&gt;'マスタ設定'!$S$3),"要トリアージ",""))</f>
        <v/>
      </c>
      <c r="W41" s="11" t="n"/>
      <c r="X41" s="11" t="n"/>
      <c r="Y41" s="11" t="n"/>
      <c r="Z41" s="11">
        <f>IF(Y41="","",TODAY()-Y41)</f>
        <v/>
      </c>
      <c r="AA41" s="11">
        <f>IF(Z41="","",IF(Z41&gt;'マスタ設定'!$S$4,"停滞",""))</f>
        <v/>
      </c>
      <c r="AB41" s="11" t="n"/>
      <c r="AC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>
        <f>IF(OR(H42="",H42=0),"",I42/H42)</f>
        <v/>
      </c>
      <c r="K42" s="11" t="n"/>
      <c r="L42" s="11">
        <f>IF(OR(K42="",K42=0),"",ROUND(I42/K42,1))</f>
        <v/>
      </c>
      <c r="M42" s="11" t="n"/>
      <c r="N42" s="11" t="n"/>
      <c r="O42" s="11" t="n"/>
      <c r="P42" s="11" t="n"/>
      <c r="Q42" s="11" t="n"/>
      <c r="R42" s="11" t="n"/>
      <c r="S42" s="11" t="n"/>
      <c r="T42" s="11">
        <f>IF(COUNT(M42:S42)&lt;7,"",ROUND(SUMPRODUCT(M42:S42,'マスタ設定'!$Q$2:$Q$8)*20,1))</f>
        <v/>
      </c>
      <c r="U42" s="11">
        <f>IF(T42="","",IF(T42&gt;='マスタ設定'!$S$5,"S：経営支援",IF(T42&gt;='マスタ設定'!$S$6,"A：重点",IF(T42&gt;='マスタ設定'!$S$7,"B：標準","C：省力化・撤退検討"))))</f>
        <v/>
      </c>
      <c r="V42" s="11">
        <f>IF(OR(L42="",K42=""),"",IF(AND(L42&lt;'マスタ設定'!$S$2,K42&gt;'マスタ設定'!$S$3),"要トリアージ",""))</f>
        <v/>
      </c>
      <c r="W42" s="11" t="n"/>
      <c r="X42" s="11" t="n"/>
      <c r="Y42" s="11" t="n"/>
      <c r="Z42" s="11">
        <f>IF(Y42="","",TODAY()-Y42)</f>
        <v/>
      </c>
      <c r="AA42" s="11">
        <f>IF(Z42="","",IF(Z42&gt;'マスタ設定'!$S$4,"停滞",""))</f>
        <v/>
      </c>
      <c r="AB42" s="11" t="n"/>
      <c r="AC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>
        <f>IF(OR(H43="",H43=0),"",I43/H43)</f>
        <v/>
      </c>
      <c r="K43" s="11" t="n"/>
      <c r="L43" s="11">
        <f>IF(OR(K43="",K43=0),"",ROUND(I43/K43,1))</f>
        <v/>
      </c>
      <c r="M43" s="11" t="n"/>
      <c r="N43" s="11" t="n"/>
      <c r="O43" s="11" t="n"/>
      <c r="P43" s="11" t="n"/>
      <c r="Q43" s="11" t="n"/>
      <c r="R43" s="11" t="n"/>
      <c r="S43" s="11" t="n"/>
      <c r="T43" s="11">
        <f>IF(COUNT(M43:S43)&lt;7,"",ROUND(SUMPRODUCT(M43:S43,'マスタ設定'!$Q$2:$Q$8)*20,1))</f>
        <v/>
      </c>
      <c r="U43" s="11">
        <f>IF(T43="","",IF(T43&gt;='マスタ設定'!$S$5,"S：経営支援",IF(T43&gt;='マスタ設定'!$S$6,"A：重点",IF(T43&gt;='マスタ設定'!$S$7,"B：標準","C：省力化・撤退検討"))))</f>
        <v/>
      </c>
      <c r="V43" s="11">
        <f>IF(OR(L43="",K43=""),"",IF(AND(L43&lt;'マスタ設定'!$S$2,K43&gt;'マスタ設定'!$S$3),"要トリアージ",""))</f>
        <v/>
      </c>
      <c r="W43" s="11" t="n"/>
      <c r="X43" s="11" t="n"/>
      <c r="Y43" s="11" t="n"/>
      <c r="Z43" s="11">
        <f>IF(Y43="","",TODAY()-Y43)</f>
        <v/>
      </c>
      <c r="AA43" s="11">
        <f>IF(Z43="","",IF(Z43&gt;'マスタ設定'!$S$4,"停滞",""))</f>
        <v/>
      </c>
      <c r="AB43" s="11" t="n"/>
      <c r="AC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>
        <f>IF(OR(H44="",H44=0),"",I44/H44)</f>
        <v/>
      </c>
      <c r="K44" s="11" t="n"/>
      <c r="L44" s="11">
        <f>IF(OR(K44="",K44=0),"",ROUND(I44/K44,1))</f>
        <v/>
      </c>
      <c r="M44" s="11" t="n"/>
      <c r="N44" s="11" t="n"/>
      <c r="O44" s="11" t="n"/>
      <c r="P44" s="11" t="n"/>
      <c r="Q44" s="11" t="n"/>
      <c r="R44" s="11" t="n"/>
      <c r="S44" s="11" t="n"/>
      <c r="T44" s="11">
        <f>IF(COUNT(M44:S44)&lt;7,"",ROUND(SUMPRODUCT(M44:S44,'マスタ設定'!$Q$2:$Q$8)*20,1))</f>
        <v/>
      </c>
      <c r="U44" s="11">
        <f>IF(T44="","",IF(T44&gt;='マスタ設定'!$S$5,"S：経営支援",IF(T44&gt;='マスタ設定'!$S$6,"A：重点",IF(T44&gt;='マスタ設定'!$S$7,"B：標準","C：省力化・撤退検討"))))</f>
        <v/>
      </c>
      <c r="V44" s="11">
        <f>IF(OR(L44="",K44=""),"",IF(AND(L44&lt;'マスタ設定'!$S$2,K44&gt;'マスタ設定'!$S$3),"要トリアージ",""))</f>
        <v/>
      </c>
      <c r="W44" s="11" t="n"/>
      <c r="X44" s="11" t="n"/>
      <c r="Y44" s="11" t="n"/>
      <c r="Z44" s="11">
        <f>IF(Y44="","",TODAY()-Y44)</f>
        <v/>
      </c>
      <c r="AA44" s="11">
        <f>IF(Z44="","",IF(Z44&gt;'マスタ設定'!$S$4,"停滞",""))</f>
        <v/>
      </c>
      <c r="AB44" s="11" t="n"/>
      <c r="AC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>
        <f>IF(OR(H45="",H45=0),"",I45/H45)</f>
        <v/>
      </c>
      <c r="K45" s="11" t="n"/>
      <c r="L45" s="11">
        <f>IF(OR(K45="",K45=0),"",ROUND(I45/K45,1))</f>
        <v/>
      </c>
      <c r="M45" s="11" t="n"/>
      <c r="N45" s="11" t="n"/>
      <c r="O45" s="11" t="n"/>
      <c r="P45" s="11" t="n"/>
      <c r="Q45" s="11" t="n"/>
      <c r="R45" s="11" t="n"/>
      <c r="S45" s="11" t="n"/>
      <c r="T45" s="11">
        <f>IF(COUNT(M45:S45)&lt;7,"",ROUND(SUMPRODUCT(M45:S45,'マスタ設定'!$Q$2:$Q$8)*20,1))</f>
        <v/>
      </c>
      <c r="U45" s="11">
        <f>IF(T45="","",IF(T45&gt;='マスタ設定'!$S$5,"S：経営支援",IF(T45&gt;='マスタ設定'!$S$6,"A：重点",IF(T45&gt;='マスタ設定'!$S$7,"B：標準","C：省力化・撤退検討"))))</f>
        <v/>
      </c>
      <c r="V45" s="11">
        <f>IF(OR(L45="",K45=""),"",IF(AND(L45&lt;'マスタ設定'!$S$2,K45&gt;'マスタ設定'!$S$3),"要トリアージ",""))</f>
        <v/>
      </c>
      <c r="W45" s="11" t="n"/>
      <c r="X45" s="11" t="n"/>
      <c r="Y45" s="11" t="n"/>
      <c r="Z45" s="11">
        <f>IF(Y45="","",TODAY()-Y45)</f>
        <v/>
      </c>
      <c r="AA45" s="11">
        <f>IF(Z45="","",IF(Z45&gt;'マスタ設定'!$S$4,"停滞",""))</f>
        <v/>
      </c>
      <c r="AB45" s="11" t="n"/>
      <c r="AC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>
        <f>IF(OR(H46="",H46=0),"",I46/H46)</f>
        <v/>
      </c>
      <c r="K46" s="11" t="n"/>
      <c r="L46" s="11">
        <f>IF(OR(K46="",K46=0),"",ROUND(I46/K46,1))</f>
        <v/>
      </c>
      <c r="M46" s="11" t="n"/>
      <c r="N46" s="11" t="n"/>
      <c r="O46" s="11" t="n"/>
      <c r="P46" s="11" t="n"/>
      <c r="Q46" s="11" t="n"/>
      <c r="R46" s="11" t="n"/>
      <c r="S46" s="11" t="n"/>
      <c r="T46" s="11">
        <f>IF(COUNT(M46:S46)&lt;7,"",ROUND(SUMPRODUCT(M46:S46,'マスタ設定'!$Q$2:$Q$8)*20,1))</f>
        <v/>
      </c>
      <c r="U46" s="11">
        <f>IF(T46="","",IF(T46&gt;='マスタ設定'!$S$5,"S：経営支援",IF(T46&gt;='マスタ設定'!$S$6,"A：重点",IF(T46&gt;='マスタ設定'!$S$7,"B：標準","C：省力化・撤退検討"))))</f>
        <v/>
      </c>
      <c r="V46" s="11">
        <f>IF(OR(L46="",K46=""),"",IF(AND(L46&lt;'マスタ設定'!$S$2,K46&gt;'マスタ設定'!$S$3),"要トリアージ",""))</f>
        <v/>
      </c>
      <c r="W46" s="11" t="n"/>
      <c r="X46" s="11" t="n"/>
      <c r="Y46" s="11" t="n"/>
      <c r="Z46" s="11">
        <f>IF(Y46="","",TODAY()-Y46)</f>
        <v/>
      </c>
      <c r="AA46" s="11">
        <f>IF(Z46="","",IF(Z46&gt;'マスタ設定'!$S$4,"停滞",""))</f>
        <v/>
      </c>
      <c r="AB46" s="11" t="n"/>
      <c r="AC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>
        <f>IF(OR(H47="",H47=0),"",I47/H47)</f>
        <v/>
      </c>
      <c r="K47" s="11" t="n"/>
      <c r="L47" s="11">
        <f>IF(OR(K47="",K47=0),"",ROUND(I47/K47,1))</f>
        <v/>
      </c>
      <c r="M47" s="11" t="n"/>
      <c r="N47" s="11" t="n"/>
      <c r="O47" s="11" t="n"/>
      <c r="P47" s="11" t="n"/>
      <c r="Q47" s="11" t="n"/>
      <c r="R47" s="11" t="n"/>
      <c r="S47" s="11" t="n"/>
      <c r="T47" s="11">
        <f>IF(COUNT(M47:S47)&lt;7,"",ROUND(SUMPRODUCT(M47:S47,'マスタ設定'!$Q$2:$Q$8)*20,1))</f>
        <v/>
      </c>
      <c r="U47" s="11">
        <f>IF(T47="","",IF(T47&gt;='マスタ設定'!$S$5,"S：経営支援",IF(T47&gt;='マスタ設定'!$S$6,"A：重点",IF(T47&gt;='マスタ設定'!$S$7,"B：標準","C：省力化・撤退検討"))))</f>
        <v/>
      </c>
      <c r="V47" s="11">
        <f>IF(OR(L47="",K47=""),"",IF(AND(L47&lt;'マスタ設定'!$S$2,K47&gt;'マスタ設定'!$S$3),"要トリアージ",""))</f>
        <v/>
      </c>
      <c r="W47" s="11" t="n"/>
      <c r="X47" s="11" t="n"/>
      <c r="Y47" s="11" t="n"/>
      <c r="Z47" s="11">
        <f>IF(Y47="","",TODAY()-Y47)</f>
        <v/>
      </c>
      <c r="AA47" s="11">
        <f>IF(Z47="","",IF(Z47&gt;'マスタ設定'!$S$4,"停滞",""))</f>
        <v/>
      </c>
      <c r="AB47" s="11" t="n"/>
      <c r="AC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>
        <f>IF(OR(H48="",H48=0),"",I48/H48)</f>
        <v/>
      </c>
      <c r="K48" s="11" t="n"/>
      <c r="L48" s="11">
        <f>IF(OR(K48="",K48=0),"",ROUND(I48/K48,1))</f>
        <v/>
      </c>
      <c r="M48" s="11" t="n"/>
      <c r="N48" s="11" t="n"/>
      <c r="O48" s="11" t="n"/>
      <c r="P48" s="11" t="n"/>
      <c r="Q48" s="11" t="n"/>
      <c r="R48" s="11" t="n"/>
      <c r="S48" s="11" t="n"/>
      <c r="T48" s="11">
        <f>IF(COUNT(M48:S48)&lt;7,"",ROUND(SUMPRODUCT(M48:S48,'マスタ設定'!$Q$2:$Q$8)*20,1))</f>
        <v/>
      </c>
      <c r="U48" s="11">
        <f>IF(T48="","",IF(T48&gt;='マスタ設定'!$S$5,"S：経営支援",IF(T48&gt;='マスタ設定'!$S$6,"A：重点",IF(T48&gt;='マスタ設定'!$S$7,"B：標準","C：省力化・撤退検討"))))</f>
        <v/>
      </c>
      <c r="V48" s="11">
        <f>IF(OR(L48="",K48=""),"",IF(AND(L48&lt;'マスタ設定'!$S$2,K48&gt;'マスタ設定'!$S$3),"要トリアージ",""))</f>
        <v/>
      </c>
      <c r="W48" s="11" t="n"/>
      <c r="X48" s="11" t="n"/>
      <c r="Y48" s="11" t="n"/>
      <c r="Z48" s="11">
        <f>IF(Y48="","",TODAY()-Y48)</f>
        <v/>
      </c>
      <c r="AA48" s="11">
        <f>IF(Z48="","",IF(Z48&gt;'マスタ設定'!$S$4,"停滞",""))</f>
        <v/>
      </c>
      <c r="AB48" s="11" t="n"/>
      <c r="AC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>
        <f>IF(OR(H49="",H49=0),"",I49/H49)</f>
        <v/>
      </c>
      <c r="K49" s="11" t="n"/>
      <c r="L49" s="11">
        <f>IF(OR(K49="",K49=0),"",ROUND(I49/K49,1))</f>
        <v/>
      </c>
      <c r="M49" s="11" t="n"/>
      <c r="N49" s="11" t="n"/>
      <c r="O49" s="11" t="n"/>
      <c r="P49" s="11" t="n"/>
      <c r="Q49" s="11" t="n"/>
      <c r="R49" s="11" t="n"/>
      <c r="S49" s="11" t="n"/>
      <c r="T49" s="11">
        <f>IF(COUNT(M49:S49)&lt;7,"",ROUND(SUMPRODUCT(M49:S49,'マスタ設定'!$Q$2:$Q$8)*20,1))</f>
        <v/>
      </c>
      <c r="U49" s="11">
        <f>IF(T49="","",IF(T49&gt;='マスタ設定'!$S$5,"S：経営支援",IF(T49&gt;='マスタ設定'!$S$6,"A：重点",IF(T49&gt;='マスタ設定'!$S$7,"B：標準","C：省力化・撤退検討"))))</f>
        <v/>
      </c>
      <c r="V49" s="11">
        <f>IF(OR(L49="",K49=""),"",IF(AND(L49&lt;'マスタ設定'!$S$2,K49&gt;'マスタ設定'!$S$3),"要トリアージ",""))</f>
        <v/>
      </c>
      <c r="W49" s="11" t="n"/>
      <c r="X49" s="11" t="n"/>
      <c r="Y49" s="11" t="n"/>
      <c r="Z49" s="11">
        <f>IF(Y49="","",TODAY()-Y49)</f>
        <v/>
      </c>
      <c r="AA49" s="11">
        <f>IF(Z49="","",IF(Z49&gt;'マスタ設定'!$S$4,"停滞",""))</f>
        <v/>
      </c>
      <c r="AB49" s="11" t="n"/>
      <c r="AC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>
        <f>IF(OR(H50="",H50=0),"",I50/H50)</f>
        <v/>
      </c>
      <c r="K50" s="11" t="n"/>
      <c r="L50" s="11">
        <f>IF(OR(K50="",K50=0),"",ROUND(I50/K50,1))</f>
        <v/>
      </c>
      <c r="M50" s="11" t="n"/>
      <c r="N50" s="11" t="n"/>
      <c r="O50" s="11" t="n"/>
      <c r="P50" s="11" t="n"/>
      <c r="Q50" s="11" t="n"/>
      <c r="R50" s="11" t="n"/>
      <c r="S50" s="11" t="n"/>
      <c r="T50" s="11">
        <f>IF(COUNT(M50:S50)&lt;7,"",ROUND(SUMPRODUCT(M50:S50,'マスタ設定'!$Q$2:$Q$8)*20,1))</f>
        <v/>
      </c>
      <c r="U50" s="11">
        <f>IF(T50="","",IF(T50&gt;='マスタ設定'!$S$5,"S：経営支援",IF(T50&gt;='マスタ設定'!$S$6,"A：重点",IF(T50&gt;='マスタ設定'!$S$7,"B：標準","C：省力化・撤退検討"))))</f>
        <v/>
      </c>
      <c r="V50" s="11">
        <f>IF(OR(L50="",K50=""),"",IF(AND(L50&lt;'マスタ設定'!$S$2,K50&gt;'マスタ設定'!$S$3),"要トリアージ",""))</f>
        <v/>
      </c>
      <c r="W50" s="11" t="n"/>
      <c r="X50" s="11" t="n"/>
      <c r="Y50" s="11" t="n"/>
      <c r="Z50" s="11">
        <f>IF(Y50="","",TODAY()-Y50)</f>
        <v/>
      </c>
      <c r="AA50" s="11">
        <f>IF(Z50="","",IF(Z50&gt;'マスタ設定'!$S$4,"停滞",""))</f>
        <v/>
      </c>
      <c r="AB50" s="11" t="n"/>
      <c r="AC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>
        <f>IF(OR(H51="",H51=0),"",I51/H51)</f>
        <v/>
      </c>
      <c r="K51" s="11" t="n"/>
      <c r="L51" s="11">
        <f>IF(OR(K51="",K51=0),"",ROUND(I51/K51,1))</f>
        <v/>
      </c>
      <c r="M51" s="11" t="n"/>
      <c r="N51" s="11" t="n"/>
      <c r="O51" s="11" t="n"/>
      <c r="P51" s="11" t="n"/>
      <c r="Q51" s="11" t="n"/>
      <c r="R51" s="11" t="n"/>
      <c r="S51" s="11" t="n"/>
      <c r="T51" s="11">
        <f>IF(COUNT(M51:S51)&lt;7,"",ROUND(SUMPRODUCT(M51:S51,'マスタ設定'!$Q$2:$Q$8)*20,1))</f>
        <v/>
      </c>
      <c r="U51" s="11">
        <f>IF(T51="","",IF(T51&gt;='マスタ設定'!$S$5,"S：経営支援",IF(T51&gt;='マスタ設定'!$S$6,"A：重点",IF(T51&gt;='マスタ設定'!$S$7,"B：標準","C：省力化・撤退検討"))))</f>
        <v/>
      </c>
      <c r="V51" s="11">
        <f>IF(OR(L51="",K51=""),"",IF(AND(L51&lt;'マスタ設定'!$S$2,K51&gt;'マスタ設定'!$S$3),"要トリアージ",""))</f>
        <v/>
      </c>
      <c r="W51" s="11" t="n"/>
      <c r="X51" s="11" t="n"/>
      <c r="Y51" s="11" t="n"/>
      <c r="Z51" s="11">
        <f>IF(Y51="","",TODAY()-Y51)</f>
        <v/>
      </c>
      <c r="AA51" s="11">
        <f>IF(Z51="","",IF(Z51&gt;'マスタ設定'!$S$4,"停滞",""))</f>
        <v/>
      </c>
      <c r="AB51" s="11" t="n"/>
      <c r="AC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>
        <f>IF(OR(H52="",H52=0),"",I52/H52)</f>
        <v/>
      </c>
      <c r="K52" s="11" t="n"/>
      <c r="L52" s="11">
        <f>IF(OR(K52="",K52=0),"",ROUND(I52/K52,1))</f>
        <v/>
      </c>
      <c r="M52" s="11" t="n"/>
      <c r="N52" s="11" t="n"/>
      <c r="O52" s="11" t="n"/>
      <c r="P52" s="11" t="n"/>
      <c r="Q52" s="11" t="n"/>
      <c r="R52" s="11" t="n"/>
      <c r="S52" s="11" t="n"/>
      <c r="T52" s="11">
        <f>IF(COUNT(M52:S52)&lt;7,"",ROUND(SUMPRODUCT(M52:S52,'マスタ設定'!$Q$2:$Q$8)*20,1))</f>
        <v/>
      </c>
      <c r="U52" s="11">
        <f>IF(T52="","",IF(T52&gt;='マスタ設定'!$S$5,"S：経営支援",IF(T52&gt;='マスタ設定'!$S$6,"A：重点",IF(T52&gt;='マスタ設定'!$S$7,"B：標準","C：省力化・撤退検討"))))</f>
        <v/>
      </c>
      <c r="V52" s="11">
        <f>IF(OR(L52="",K52=""),"",IF(AND(L52&lt;'マスタ設定'!$S$2,K52&gt;'マスタ設定'!$S$3),"要トリアージ",""))</f>
        <v/>
      </c>
      <c r="W52" s="11" t="n"/>
      <c r="X52" s="11" t="n"/>
      <c r="Y52" s="11" t="n"/>
      <c r="Z52" s="11">
        <f>IF(Y52="","",TODAY()-Y52)</f>
        <v/>
      </c>
      <c r="AA52" s="11">
        <f>IF(Z52="","",IF(Z52&gt;'マスタ設定'!$S$4,"停滞",""))</f>
        <v/>
      </c>
      <c r="AB52" s="11" t="n"/>
      <c r="AC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>
        <f>IF(OR(H53="",H53=0),"",I53/H53)</f>
        <v/>
      </c>
      <c r="K53" s="11" t="n"/>
      <c r="L53" s="11">
        <f>IF(OR(K53="",K53=0),"",ROUND(I53/K53,1))</f>
        <v/>
      </c>
      <c r="M53" s="11" t="n"/>
      <c r="N53" s="11" t="n"/>
      <c r="O53" s="11" t="n"/>
      <c r="P53" s="11" t="n"/>
      <c r="Q53" s="11" t="n"/>
      <c r="R53" s="11" t="n"/>
      <c r="S53" s="11" t="n"/>
      <c r="T53" s="11">
        <f>IF(COUNT(M53:S53)&lt;7,"",ROUND(SUMPRODUCT(M53:S53,'マスタ設定'!$Q$2:$Q$8)*20,1))</f>
        <v/>
      </c>
      <c r="U53" s="11">
        <f>IF(T53="","",IF(T53&gt;='マスタ設定'!$S$5,"S：経営支援",IF(T53&gt;='マスタ設定'!$S$6,"A：重点",IF(T53&gt;='マスタ設定'!$S$7,"B：標準","C：省力化・撤退検討"))))</f>
        <v/>
      </c>
      <c r="V53" s="11">
        <f>IF(OR(L53="",K53=""),"",IF(AND(L53&lt;'マスタ設定'!$S$2,K53&gt;'マスタ設定'!$S$3),"要トリアージ",""))</f>
        <v/>
      </c>
      <c r="W53" s="11" t="n"/>
      <c r="X53" s="11" t="n"/>
      <c r="Y53" s="11" t="n"/>
      <c r="Z53" s="11">
        <f>IF(Y53="","",TODAY()-Y53)</f>
        <v/>
      </c>
      <c r="AA53" s="11">
        <f>IF(Z53="","",IF(Z53&gt;'マスタ設定'!$S$4,"停滞",""))</f>
        <v/>
      </c>
      <c r="AB53" s="11" t="n"/>
      <c r="AC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>
        <f>IF(OR(H54="",H54=0),"",I54/H54)</f>
        <v/>
      </c>
      <c r="K54" s="11" t="n"/>
      <c r="L54" s="11">
        <f>IF(OR(K54="",K54=0),"",ROUND(I54/K54,1))</f>
        <v/>
      </c>
      <c r="M54" s="11" t="n"/>
      <c r="N54" s="11" t="n"/>
      <c r="O54" s="11" t="n"/>
      <c r="P54" s="11" t="n"/>
      <c r="Q54" s="11" t="n"/>
      <c r="R54" s="11" t="n"/>
      <c r="S54" s="11" t="n"/>
      <c r="T54" s="11">
        <f>IF(COUNT(M54:S54)&lt;7,"",ROUND(SUMPRODUCT(M54:S54,'マスタ設定'!$Q$2:$Q$8)*20,1))</f>
        <v/>
      </c>
      <c r="U54" s="11">
        <f>IF(T54="","",IF(T54&gt;='マスタ設定'!$S$5,"S：経営支援",IF(T54&gt;='マスタ設定'!$S$6,"A：重点",IF(T54&gt;='マスタ設定'!$S$7,"B：標準","C：省力化・撤退検討"))))</f>
        <v/>
      </c>
      <c r="V54" s="11">
        <f>IF(OR(L54="",K54=""),"",IF(AND(L54&lt;'マスタ設定'!$S$2,K54&gt;'マスタ設定'!$S$3),"要トリアージ",""))</f>
        <v/>
      </c>
      <c r="W54" s="11" t="n"/>
      <c r="X54" s="11" t="n"/>
      <c r="Y54" s="11" t="n"/>
      <c r="Z54" s="11">
        <f>IF(Y54="","",TODAY()-Y54)</f>
        <v/>
      </c>
      <c r="AA54" s="11">
        <f>IF(Z54="","",IF(Z54&gt;'マスタ設定'!$S$4,"停滞",""))</f>
        <v/>
      </c>
      <c r="AB54" s="11" t="n"/>
      <c r="AC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>
        <f>IF(OR(H55="",H55=0),"",I55/H55)</f>
        <v/>
      </c>
      <c r="K55" s="11" t="n"/>
      <c r="L55" s="11">
        <f>IF(OR(K55="",K55=0),"",ROUND(I55/K55,1))</f>
        <v/>
      </c>
      <c r="M55" s="11" t="n"/>
      <c r="N55" s="11" t="n"/>
      <c r="O55" s="11" t="n"/>
      <c r="P55" s="11" t="n"/>
      <c r="Q55" s="11" t="n"/>
      <c r="R55" s="11" t="n"/>
      <c r="S55" s="11" t="n"/>
      <c r="T55" s="11">
        <f>IF(COUNT(M55:S55)&lt;7,"",ROUND(SUMPRODUCT(M55:S55,'マスタ設定'!$Q$2:$Q$8)*20,1))</f>
        <v/>
      </c>
      <c r="U55" s="11">
        <f>IF(T55="","",IF(T55&gt;='マスタ設定'!$S$5,"S：経営支援",IF(T55&gt;='マスタ設定'!$S$6,"A：重点",IF(T55&gt;='マスタ設定'!$S$7,"B：標準","C：省力化・撤退検討"))))</f>
        <v/>
      </c>
      <c r="V55" s="11">
        <f>IF(OR(L55="",K55=""),"",IF(AND(L55&lt;'マスタ設定'!$S$2,K55&gt;'マスタ設定'!$S$3),"要トリアージ",""))</f>
        <v/>
      </c>
      <c r="W55" s="11" t="n"/>
      <c r="X55" s="11" t="n"/>
      <c r="Y55" s="11" t="n"/>
      <c r="Z55" s="11">
        <f>IF(Y55="","",TODAY()-Y55)</f>
        <v/>
      </c>
      <c r="AA55" s="11">
        <f>IF(Z55="","",IF(Z55&gt;'マスタ設定'!$S$4,"停滞",""))</f>
        <v/>
      </c>
      <c r="AB55" s="11" t="n"/>
      <c r="AC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>
        <f>IF(OR(H56="",H56=0),"",I56/H56)</f>
        <v/>
      </c>
      <c r="K56" s="11" t="n"/>
      <c r="L56" s="11">
        <f>IF(OR(K56="",K56=0),"",ROUND(I56/K56,1))</f>
        <v/>
      </c>
      <c r="M56" s="11" t="n"/>
      <c r="N56" s="11" t="n"/>
      <c r="O56" s="11" t="n"/>
      <c r="P56" s="11" t="n"/>
      <c r="Q56" s="11" t="n"/>
      <c r="R56" s="11" t="n"/>
      <c r="S56" s="11" t="n"/>
      <c r="T56" s="11">
        <f>IF(COUNT(M56:S56)&lt;7,"",ROUND(SUMPRODUCT(M56:S56,'マスタ設定'!$Q$2:$Q$8)*20,1))</f>
        <v/>
      </c>
      <c r="U56" s="11">
        <f>IF(T56="","",IF(T56&gt;='マスタ設定'!$S$5,"S：経営支援",IF(T56&gt;='マスタ設定'!$S$6,"A：重点",IF(T56&gt;='マスタ設定'!$S$7,"B：標準","C：省力化・撤退検討"))))</f>
        <v/>
      </c>
      <c r="V56" s="11">
        <f>IF(OR(L56="",K56=""),"",IF(AND(L56&lt;'マスタ設定'!$S$2,K56&gt;'マスタ設定'!$S$3),"要トリアージ",""))</f>
        <v/>
      </c>
      <c r="W56" s="11" t="n"/>
      <c r="X56" s="11" t="n"/>
      <c r="Y56" s="11" t="n"/>
      <c r="Z56" s="11">
        <f>IF(Y56="","",TODAY()-Y56)</f>
        <v/>
      </c>
      <c r="AA56" s="11">
        <f>IF(Z56="","",IF(Z56&gt;'マスタ設定'!$S$4,"停滞",""))</f>
        <v/>
      </c>
      <c r="AB56" s="11" t="n"/>
      <c r="AC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>
        <f>IF(OR(H57="",H57=0),"",I57/H57)</f>
        <v/>
      </c>
      <c r="K57" s="11" t="n"/>
      <c r="L57" s="11">
        <f>IF(OR(K57="",K57=0),"",ROUND(I57/K57,1))</f>
        <v/>
      </c>
      <c r="M57" s="11" t="n"/>
      <c r="N57" s="11" t="n"/>
      <c r="O57" s="11" t="n"/>
      <c r="P57" s="11" t="n"/>
      <c r="Q57" s="11" t="n"/>
      <c r="R57" s="11" t="n"/>
      <c r="S57" s="11" t="n"/>
      <c r="T57" s="11">
        <f>IF(COUNT(M57:S57)&lt;7,"",ROUND(SUMPRODUCT(M57:S57,'マスタ設定'!$Q$2:$Q$8)*20,1))</f>
        <v/>
      </c>
      <c r="U57" s="11">
        <f>IF(T57="","",IF(T57&gt;='マスタ設定'!$S$5,"S：経営支援",IF(T57&gt;='マスタ設定'!$S$6,"A：重点",IF(T57&gt;='マスタ設定'!$S$7,"B：標準","C：省力化・撤退検討"))))</f>
        <v/>
      </c>
      <c r="V57" s="11">
        <f>IF(OR(L57="",K57=""),"",IF(AND(L57&lt;'マスタ設定'!$S$2,K57&gt;'マスタ設定'!$S$3),"要トリアージ",""))</f>
        <v/>
      </c>
      <c r="W57" s="11" t="n"/>
      <c r="X57" s="11" t="n"/>
      <c r="Y57" s="11" t="n"/>
      <c r="Z57" s="11">
        <f>IF(Y57="","",TODAY()-Y57)</f>
        <v/>
      </c>
      <c r="AA57" s="11">
        <f>IF(Z57="","",IF(Z57&gt;'マスタ設定'!$S$4,"停滞",""))</f>
        <v/>
      </c>
      <c r="AB57" s="11" t="n"/>
      <c r="AC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>
        <f>IF(OR(H58="",H58=0),"",I58/H58)</f>
        <v/>
      </c>
      <c r="K58" s="11" t="n"/>
      <c r="L58" s="11">
        <f>IF(OR(K58="",K58=0),"",ROUND(I58/K58,1))</f>
        <v/>
      </c>
      <c r="M58" s="11" t="n"/>
      <c r="N58" s="11" t="n"/>
      <c r="O58" s="11" t="n"/>
      <c r="P58" s="11" t="n"/>
      <c r="Q58" s="11" t="n"/>
      <c r="R58" s="11" t="n"/>
      <c r="S58" s="11" t="n"/>
      <c r="T58" s="11">
        <f>IF(COUNT(M58:S58)&lt;7,"",ROUND(SUMPRODUCT(M58:S58,'マスタ設定'!$Q$2:$Q$8)*20,1))</f>
        <v/>
      </c>
      <c r="U58" s="11">
        <f>IF(T58="","",IF(T58&gt;='マスタ設定'!$S$5,"S：経営支援",IF(T58&gt;='マスタ設定'!$S$6,"A：重点",IF(T58&gt;='マスタ設定'!$S$7,"B：標準","C：省力化・撤退検討"))))</f>
        <v/>
      </c>
      <c r="V58" s="11">
        <f>IF(OR(L58="",K58=""),"",IF(AND(L58&lt;'マスタ設定'!$S$2,K58&gt;'マスタ設定'!$S$3),"要トリアージ",""))</f>
        <v/>
      </c>
      <c r="W58" s="11" t="n"/>
      <c r="X58" s="11" t="n"/>
      <c r="Y58" s="11" t="n"/>
      <c r="Z58" s="11">
        <f>IF(Y58="","",TODAY()-Y58)</f>
        <v/>
      </c>
      <c r="AA58" s="11">
        <f>IF(Z58="","",IF(Z58&gt;'マスタ設定'!$S$4,"停滞",""))</f>
        <v/>
      </c>
      <c r="AB58" s="11" t="n"/>
      <c r="AC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>
        <f>IF(OR(H59="",H59=0),"",I59/H59)</f>
        <v/>
      </c>
      <c r="K59" s="11" t="n"/>
      <c r="L59" s="11">
        <f>IF(OR(K59="",K59=0),"",ROUND(I59/K59,1))</f>
        <v/>
      </c>
      <c r="M59" s="11" t="n"/>
      <c r="N59" s="11" t="n"/>
      <c r="O59" s="11" t="n"/>
      <c r="P59" s="11" t="n"/>
      <c r="Q59" s="11" t="n"/>
      <c r="R59" s="11" t="n"/>
      <c r="S59" s="11" t="n"/>
      <c r="T59" s="11">
        <f>IF(COUNT(M59:S59)&lt;7,"",ROUND(SUMPRODUCT(M59:S59,'マスタ設定'!$Q$2:$Q$8)*20,1))</f>
        <v/>
      </c>
      <c r="U59" s="11">
        <f>IF(T59="","",IF(T59&gt;='マスタ設定'!$S$5,"S：経営支援",IF(T59&gt;='マスタ設定'!$S$6,"A：重点",IF(T59&gt;='マスタ設定'!$S$7,"B：標準","C：省力化・撤退検討"))))</f>
        <v/>
      </c>
      <c r="V59" s="11">
        <f>IF(OR(L59="",K59=""),"",IF(AND(L59&lt;'マスタ設定'!$S$2,K59&gt;'マスタ設定'!$S$3),"要トリアージ",""))</f>
        <v/>
      </c>
      <c r="W59" s="11" t="n"/>
      <c r="X59" s="11" t="n"/>
      <c r="Y59" s="11" t="n"/>
      <c r="Z59" s="11">
        <f>IF(Y59="","",TODAY()-Y59)</f>
        <v/>
      </c>
      <c r="AA59" s="11">
        <f>IF(Z59="","",IF(Z59&gt;'マスタ設定'!$S$4,"停滞",""))</f>
        <v/>
      </c>
      <c r="AB59" s="11" t="n"/>
      <c r="AC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>
        <f>IF(OR(H60="",H60=0),"",I60/H60)</f>
        <v/>
      </c>
      <c r="K60" s="11" t="n"/>
      <c r="L60" s="11">
        <f>IF(OR(K60="",K60=0),"",ROUND(I60/K60,1))</f>
        <v/>
      </c>
      <c r="M60" s="11" t="n"/>
      <c r="N60" s="11" t="n"/>
      <c r="O60" s="11" t="n"/>
      <c r="P60" s="11" t="n"/>
      <c r="Q60" s="11" t="n"/>
      <c r="R60" s="11" t="n"/>
      <c r="S60" s="11" t="n"/>
      <c r="T60" s="11">
        <f>IF(COUNT(M60:S60)&lt;7,"",ROUND(SUMPRODUCT(M60:S60,'マスタ設定'!$Q$2:$Q$8)*20,1))</f>
        <v/>
      </c>
      <c r="U60" s="11">
        <f>IF(T60="","",IF(T60&gt;='マスタ設定'!$S$5,"S：経営支援",IF(T60&gt;='マスタ設定'!$S$6,"A：重点",IF(T60&gt;='マスタ設定'!$S$7,"B：標準","C：省力化・撤退検討"))))</f>
        <v/>
      </c>
      <c r="V60" s="11">
        <f>IF(OR(L60="",K60=""),"",IF(AND(L60&lt;'マスタ設定'!$S$2,K60&gt;'マスタ設定'!$S$3),"要トリアージ",""))</f>
        <v/>
      </c>
      <c r="W60" s="11" t="n"/>
      <c r="X60" s="11" t="n"/>
      <c r="Y60" s="11" t="n"/>
      <c r="Z60" s="11">
        <f>IF(Y60="","",TODAY()-Y60)</f>
        <v/>
      </c>
      <c r="AA60" s="11">
        <f>IF(Z60="","",IF(Z60&gt;'マスタ設定'!$S$4,"停滞",""))</f>
        <v/>
      </c>
      <c r="AB60" s="11" t="n"/>
      <c r="AC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>
        <f>IF(OR(H61="",H61=0),"",I61/H61)</f>
        <v/>
      </c>
      <c r="K61" s="11" t="n"/>
      <c r="L61" s="11">
        <f>IF(OR(K61="",K61=0),"",ROUND(I61/K61,1))</f>
        <v/>
      </c>
      <c r="M61" s="11" t="n"/>
      <c r="N61" s="11" t="n"/>
      <c r="O61" s="11" t="n"/>
      <c r="P61" s="11" t="n"/>
      <c r="Q61" s="11" t="n"/>
      <c r="R61" s="11" t="n"/>
      <c r="S61" s="11" t="n"/>
      <c r="T61" s="11">
        <f>IF(COUNT(M61:S61)&lt;7,"",ROUND(SUMPRODUCT(M61:S61,'マスタ設定'!$Q$2:$Q$8)*20,1))</f>
        <v/>
      </c>
      <c r="U61" s="11">
        <f>IF(T61="","",IF(T61&gt;='マスタ設定'!$S$5,"S：経営支援",IF(T61&gt;='マスタ設定'!$S$6,"A：重点",IF(T61&gt;='マスタ設定'!$S$7,"B：標準","C：省力化・撤退検討"))))</f>
        <v/>
      </c>
      <c r="V61" s="11">
        <f>IF(OR(L61="",K61=""),"",IF(AND(L61&lt;'マスタ設定'!$S$2,K61&gt;'マスタ設定'!$S$3),"要トリアージ",""))</f>
        <v/>
      </c>
      <c r="W61" s="11" t="n"/>
      <c r="X61" s="11" t="n"/>
      <c r="Y61" s="11" t="n"/>
      <c r="Z61" s="11">
        <f>IF(Y61="","",TODAY()-Y61)</f>
        <v/>
      </c>
      <c r="AA61" s="11">
        <f>IF(Z61="","",IF(Z61&gt;'マスタ設定'!$S$4,"停滞",""))</f>
        <v/>
      </c>
      <c r="AB61" s="11" t="n"/>
      <c r="AC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>
        <f>IF(OR(H62="",H62=0),"",I62/H62)</f>
        <v/>
      </c>
      <c r="K62" s="11" t="n"/>
      <c r="L62" s="11">
        <f>IF(OR(K62="",K62=0),"",ROUND(I62/K62,1))</f>
        <v/>
      </c>
      <c r="M62" s="11" t="n"/>
      <c r="N62" s="11" t="n"/>
      <c r="O62" s="11" t="n"/>
      <c r="P62" s="11" t="n"/>
      <c r="Q62" s="11" t="n"/>
      <c r="R62" s="11" t="n"/>
      <c r="S62" s="11" t="n"/>
      <c r="T62" s="11">
        <f>IF(COUNT(M62:S62)&lt;7,"",ROUND(SUMPRODUCT(M62:S62,'マスタ設定'!$Q$2:$Q$8)*20,1))</f>
        <v/>
      </c>
      <c r="U62" s="11">
        <f>IF(T62="","",IF(T62&gt;='マスタ設定'!$S$5,"S：経営支援",IF(T62&gt;='マスタ設定'!$S$6,"A：重点",IF(T62&gt;='マスタ設定'!$S$7,"B：標準","C：省力化・撤退検討"))))</f>
        <v/>
      </c>
      <c r="V62" s="11">
        <f>IF(OR(L62="",K62=""),"",IF(AND(L62&lt;'マスタ設定'!$S$2,K62&gt;'マスタ設定'!$S$3),"要トリアージ",""))</f>
        <v/>
      </c>
      <c r="W62" s="11" t="n"/>
      <c r="X62" s="11" t="n"/>
      <c r="Y62" s="11" t="n"/>
      <c r="Z62" s="11">
        <f>IF(Y62="","",TODAY()-Y62)</f>
        <v/>
      </c>
      <c r="AA62" s="11">
        <f>IF(Z62="","",IF(Z62&gt;'マスタ設定'!$S$4,"停滞",""))</f>
        <v/>
      </c>
      <c r="AB62" s="11" t="n"/>
      <c r="AC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>
        <f>IF(OR(H63="",H63=0),"",I63/H63)</f>
        <v/>
      </c>
      <c r="K63" s="11" t="n"/>
      <c r="L63" s="11">
        <f>IF(OR(K63="",K63=0),"",ROUND(I63/K63,1))</f>
        <v/>
      </c>
      <c r="M63" s="11" t="n"/>
      <c r="N63" s="11" t="n"/>
      <c r="O63" s="11" t="n"/>
      <c r="P63" s="11" t="n"/>
      <c r="Q63" s="11" t="n"/>
      <c r="R63" s="11" t="n"/>
      <c r="S63" s="11" t="n"/>
      <c r="T63" s="11">
        <f>IF(COUNT(M63:S63)&lt;7,"",ROUND(SUMPRODUCT(M63:S63,'マスタ設定'!$Q$2:$Q$8)*20,1))</f>
        <v/>
      </c>
      <c r="U63" s="11">
        <f>IF(T63="","",IF(T63&gt;='マスタ設定'!$S$5,"S：経営支援",IF(T63&gt;='マスタ設定'!$S$6,"A：重点",IF(T63&gt;='マスタ設定'!$S$7,"B：標準","C：省力化・撤退検討"))))</f>
        <v/>
      </c>
      <c r="V63" s="11">
        <f>IF(OR(L63="",K63=""),"",IF(AND(L63&lt;'マスタ設定'!$S$2,K63&gt;'マスタ設定'!$S$3),"要トリアージ",""))</f>
        <v/>
      </c>
      <c r="W63" s="11" t="n"/>
      <c r="X63" s="11" t="n"/>
      <c r="Y63" s="11" t="n"/>
      <c r="Z63" s="11">
        <f>IF(Y63="","",TODAY()-Y63)</f>
        <v/>
      </c>
      <c r="AA63" s="11">
        <f>IF(Z63="","",IF(Z63&gt;'マスタ設定'!$S$4,"停滞",""))</f>
        <v/>
      </c>
      <c r="AB63" s="11" t="n"/>
      <c r="AC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>
        <f>IF(OR(H64="",H64=0),"",I64/H64)</f>
        <v/>
      </c>
      <c r="K64" s="11" t="n"/>
      <c r="L64" s="11">
        <f>IF(OR(K64="",K64=0),"",ROUND(I64/K64,1))</f>
        <v/>
      </c>
      <c r="M64" s="11" t="n"/>
      <c r="N64" s="11" t="n"/>
      <c r="O64" s="11" t="n"/>
      <c r="P64" s="11" t="n"/>
      <c r="Q64" s="11" t="n"/>
      <c r="R64" s="11" t="n"/>
      <c r="S64" s="11" t="n"/>
      <c r="T64" s="11">
        <f>IF(COUNT(M64:S64)&lt;7,"",ROUND(SUMPRODUCT(M64:S64,'マスタ設定'!$Q$2:$Q$8)*20,1))</f>
        <v/>
      </c>
      <c r="U64" s="11">
        <f>IF(T64="","",IF(T64&gt;='マスタ設定'!$S$5,"S：経営支援",IF(T64&gt;='マスタ設定'!$S$6,"A：重点",IF(T64&gt;='マスタ設定'!$S$7,"B：標準","C：省力化・撤退検討"))))</f>
        <v/>
      </c>
      <c r="V64" s="11">
        <f>IF(OR(L64="",K64=""),"",IF(AND(L64&lt;'マスタ設定'!$S$2,K64&gt;'マスタ設定'!$S$3),"要トリアージ",""))</f>
        <v/>
      </c>
      <c r="W64" s="11" t="n"/>
      <c r="X64" s="11" t="n"/>
      <c r="Y64" s="11" t="n"/>
      <c r="Z64" s="11">
        <f>IF(Y64="","",TODAY()-Y64)</f>
        <v/>
      </c>
      <c r="AA64" s="11">
        <f>IF(Z64="","",IF(Z64&gt;'マスタ設定'!$S$4,"停滞",""))</f>
        <v/>
      </c>
      <c r="AB64" s="11" t="n"/>
      <c r="AC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>
        <f>IF(OR(H65="",H65=0),"",I65/H65)</f>
        <v/>
      </c>
      <c r="K65" s="11" t="n"/>
      <c r="L65" s="11">
        <f>IF(OR(K65="",K65=0),"",ROUND(I65/K65,1))</f>
        <v/>
      </c>
      <c r="M65" s="11" t="n"/>
      <c r="N65" s="11" t="n"/>
      <c r="O65" s="11" t="n"/>
      <c r="P65" s="11" t="n"/>
      <c r="Q65" s="11" t="n"/>
      <c r="R65" s="11" t="n"/>
      <c r="S65" s="11" t="n"/>
      <c r="T65" s="11">
        <f>IF(COUNT(M65:S65)&lt;7,"",ROUND(SUMPRODUCT(M65:S65,'マスタ設定'!$Q$2:$Q$8)*20,1))</f>
        <v/>
      </c>
      <c r="U65" s="11">
        <f>IF(T65="","",IF(T65&gt;='マスタ設定'!$S$5,"S：経営支援",IF(T65&gt;='マスタ設定'!$S$6,"A：重点",IF(T65&gt;='マスタ設定'!$S$7,"B：標準","C：省力化・撤退検討"))))</f>
        <v/>
      </c>
      <c r="V65" s="11">
        <f>IF(OR(L65="",K65=""),"",IF(AND(L65&lt;'マスタ設定'!$S$2,K65&gt;'マスタ設定'!$S$3),"要トリアージ",""))</f>
        <v/>
      </c>
      <c r="W65" s="11" t="n"/>
      <c r="X65" s="11" t="n"/>
      <c r="Y65" s="11" t="n"/>
      <c r="Z65" s="11">
        <f>IF(Y65="","",TODAY()-Y65)</f>
        <v/>
      </c>
      <c r="AA65" s="11">
        <f>IF(Z65="","",IF(Z65&gt;'マスタ設定'!$S$4,"停滞",""))</f>
        <v/>
      </c>
      <c r="AB65" s="11" t="n"/>
      <c r="AC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>
        <f>IF(OR(H66="",H66=0),"",I66/H66)</f>
        <v/>
      </c>
      <c r="K66" s="11" t="n"/>
      <c r="L66" s="11">
        <f>IF(OR(K66="",K66=0),"",ROUND(I66/K66,1))</f>
        <v/>
      </c>
      <c r="M66" s="11" t="n"/>
      <c r="N66" s="11" t="n"/>
      <c r="O66" s="11" t="n"/>
      <c r="P66" s="11" t="n"/>
      <c r="Q66" s="11" t="n"/>
      <c r="R66" s="11" t="n"/>
      <c r="S66" s="11" t="n"/>
      <c r="T66" s="11">
        <f>IF(COUNT(M66:S66)&lt;7,"",ROUND(SUMPRODUCT(M66:S66,'マスタ設定'!$Q$2:$Q$8)*20,1))</f>
        <v/>
      </c>
      <c r="U66" s="11">
        <f>IF(T66="","",IF(T66&gt;='マスタ設定'!$S$5,"S：経営支援",IF(T66&gt;='マスタ設定'!$S$6,"A：重点",IF(T66&gt;='マスタ設定'!$S$7,"B：標準","C：省力化・撤退検討"))))</f>
        <v/>
      </c>
      <c r="V66" s="11">
        <f>IF(OR(L66="",K66=""),"",IF(AND(L66&lt;'マスタ設定'!$S$2,K66&gt;'マスタ設定'!$S$3),"要トリアージ",""))</f>
        <v/>
      </c>
      <c r="W66" s="11" t="n"/>
      <c r="X66" s="11" t="n"/>
      <c r="Y66" s="11" t="n"/>
      <c r="Z66" s="11">
        <f>IF(Y66="","",TODAY()-Y66)</f>
        <v/>
      </c>
      <c r="AA66" s="11">
        <f>IF(Z66="","",IF(Z66&gt;'マスタ設定'!$S$4,"停滞",""))</f>
        <v/>
      </c>
      <c r="AB66" s="11" t="n"/>
      <c r="AC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>
        <f>IF(OR(H67="",H67=0),"",I67/H67)</f>
        <v/>
      </c>
      <c r="K67" s="11" t="n"/>
      <c r="L67" s="11">
        <f>IF(OR(K67="",K67=0),"",ROUND(I67/K67,1))</f>
        <v/>
      </c>
      <c r="M67" s="11" t="n"/>
      <c r="N67" s="11" t="n"/>
      <c r="O67" s="11" t="n"/>
      <c r="P67" s="11" t="n"/>
      <c r="Q67" s="11" t="n"/>
      <c r="R67" s="11" t="n"/>
      <c r="S67" s="11" t="n"/>
      <c r="T67" s="11">
        <f>IF(COUNT(M67:S67)&lt;7,"",ROUND(SUMPRODUCT(M67:S67,'マスタ設定'!$Q$2:$Q$8)*20,1))</f>
        <v/>
      </c>
      <c r="U67" s="11">
        <f>IF(T67="","",IF(T67&gt;='マスタ設定'!$S$5,"S：経営支援",IF(T67&gt;='マスタ設定'!$S$6,"A：重点",IF(T67&gt;='マスタ設定'!$S$7,"B：標準","C：省力化・撤退検討"))))</f>
        <v/>
      </c>
      <c r="V67" s="11">
        <f>IF(OR(L67="",K67=""),"",IF(AND(L67&lt;'マスタ設定'!$S$2,K67&gt;'マスタ設定'!$S$3),"要トリアージ",""))</f>
        <v/>
      </c>
      <c r="W67" s="11" t="n"/>
      <c r="X67" s="11" t="n"/>
      <c r="Y67" s="11" t="n"/>
      <c r="Z67" s="11">
        <f>IF(Y67="","",TODAY()-Y67)</f>
        <v/>
      </c>
      <c r="AA67" s="11">
        <f>IF(Z67="","",IF(Z67&gt;'マスタ設定'!$S$4,"停滞",""))</f>
        <v/>
      </c>
      <c r="AB67" s="11" t="n"/>
      <c r="AC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>
        <f>IF(OR(H68="",H68=0),"",I68/H68)</f>
        <v/>
      </c>
      <c r="K68" s="11" t="n"/>
      <c r="L68" s="11">
        <f>IF(OR(K68="",K68=0),"",ROUND(I68/K68,1))</f>
        <v/>
      </c>
      <c r="M68" s="11" t="n"/>
      <c r="N68" s="11" t="n"/>
      <c r="O68" s="11" t="n"/>
      <c r="P68" s="11" t="n"/>
      <c r="Q68" s="11" t="n"/>
      <c r="R68" s="11" t="n"/>
      <c r="S68" s="11" t="n"/>
      <c r="T68" s="11">
        <f>IF(COUNT(M68:S68)&lt;7,"",ROUND(SUMPRODUCT(M68:S68,'マスタ設定'!$Q$2:$Q$8)*20,1))</f>
        <v/>
      </c>
      <c r="U68" s="11">
        <f>IF(T68="","",IF(T68&gt;='マスタ設定'!$S$5,"S：経営支援",IF(T68&gt;='マスタ設定'!$S$6,"A：重点",IF(T68&gt;='マスタ設定'!$S$7,"B：標準","C：省力化・撤退検討"))))</f>
        <v/>
      </c>
      <c r="V68" s="11">
        <f>IF(OR(L68="",K68=""),"",IF(AND(L68&lt;'マスタ設定'!$S$2,K68&gt;'マスタ設定'!$S$3),"要トリアージ",""))</f>
        <v/>
      </c>
      <c r="W68" s="11" t="n"/>
      <c r="X68" s="11" t="n"/>
      <c r="Y68" s="11" t="n"/>
      <c r="Z68" s="11">
        <f>IF(Y68="","",TODAY()-Y68)</f>
        <v/>
      </c>
      <c r="AA68" s="11">
        <f>IF(Z68="","",IF(Z68&gt;'マスタ設定'!$S$4,"停滞",""))</f>
        <v/>
      </c>
      <c r="AB68" s="11" t="n"/>
      <c r="AC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>
        <f>IF(OR(H69="",H69=0),"",I69/H69)</f>
        <v/>
      </c>
      <c r="K69" s="11" t="n"/>
      <c r="L69" s="11">
        <f>IF(OR(K69="",K69=0),"",ROUND(I69/K69,1))</f>
        <v/>
      </c>
      <c r="M69" s="11" t="n"/>
      <c r="N69" s="11" t="n"/>
      <c r="O69" s="11" t="n"/>
      <c r="P69" s="11" t="n"/>
      <c r="Q69" s="11" t="n"/>
      <c r="R69" s="11" t="n"/>
      <c r="S69" s="11" t="n"/>
      <c r="T69" s="11">
        <f>IF(COUNT(M69:S69)&lt;7,"",ROUND(SUMPRODUCT(M69:S69,'マスタ設定'!$Q$2:$Q$8)*20,1))</f>
        <v/>
      </c>
      <c r="U69" s="11">
        <f>IF(T69="","",IF(T69&gt;='マスタ設定'!$S$5,"S：経営支援",IF(T69&gt;='マスタ設定'!$S$6,"A：重点",IF(T69&gt;='マスタ設定'!$S$7,"B：標準","C：省力化・撤退検討"))))</f>
        <v/>
      </c>
      <c r="V69" s="11">
        <f>IF(OR(L69="",K69=""),"",IF(AND(L69&lt;'マスタ設定'!$S$2,K69&gt;'マスタ設定'!$S$3),"要トリアージ",""))</f>
        <v/>
      </c>
      <c r="W69" s="11" t="n"/>
      <c r="X69" s="11" t="n"/>
      <c r="Y69" s="11" t="n"/>
      <c r="Z69" s="11">
        <f>IF(Y69="","",TODAY()-Y69)</f>
        <v/>
      </c>
      <c r="AA69" s="11">
        <f>IF(Z69="","",IF(Z69&gt;'マスタ設定'!$S$4,"停滞",""))</f>
        <v/>
      </c>
      <c r="AB69" s="11" t="n"/>
      <c r="AC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>
        <f>IF(OR(H70="",H70=0),"",I70/H70)</f>
        <v/>
      </c>
      <c r="K70" s="11" t="n"/>
      <c r="L70" s="11">
        <f>IF(OR(K70="",K70=0),"",ROUND(I70/K70,1))</f>
        <v/>
      </c>
      <c r="M70" s="11" t="n"/>
      <c r="N70" s="11" t="n"/>
      <c r="O70" s="11" t="n"/>
      <c r="P70" s="11" t="n"/>
      <c r="Q70" s="11" t="n"/>
      <c r="R70" s="11" t="n"/>
      <c r="S70" s="11" t="n"/>
      <c r="T70" s="11">
        <f>IF(COUNT(M70:S70)&lt;7,"",ROUND(SUMPRODUCT(M70:S70,'マスタ設定'!$Q$2:$Q$8)*20,1))</f>
        <v/>
      </c>
      <c r="U70" s="11">
        <f>IF(T70="","",IF(T70&gt;='マスタ設定'!$S$5,"S：経営支援",IF(T70&gt;='マスタ設定'!$S$6,"A：重点",IF(T70&gt;='マスタ設定'!$S$7,"B：標準","C：省力化・撤退検討"))))</f>
        <v/>
      </c>
      <c r="V70" s="11">
        <f>IF(OR(L70="",K70=""),"",IF(AND(L70&lt;'マスタ設定'!$S$2,K70&gt;'マスタ設定'!$S$3),"要トリアージ",""))</f>
        <v/>
      </c>
      <c r="W70" s="11" t="n"/>
      <c r="X70" s="11" t="n"/>
      <c r="Y70" s="11" t="n"/>
      <c r="Z70" s="11">
        <f>IF(Y70="","",TODAY()-Y70)</f>
        <v/>
      </c>
      <c r="AA70" s="11">
        <f>IF(Z70="","",IF(Z70&gt;'マスタ設定'!$S$4,"停滞",""))</f>
        <v/>
      </c>
      <c r="AB70" s="11" t="n"/>
      <c r="AC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>
        <f>IF(OR(H71="",H71=0),"",I71/H71)</f>
        <v/>
      </c>
      <c r="K71" s="11" t="n"/>
      <c r="L71" s="11">
        <f>IF(OR(K71="",K71=0),"",ROUND(I71/K71,1))</f>
        <v/>
      </c>
      <c r="M71" s="11" t="n"/>
      <c r="N71" s="11" t="n"/>
      <c r="O71" s="11" t="n"/>
      <c r="P71" s="11" t="n"/>
      <c r="Q71" s="11" t="n"/>
      <c r="R71" s="11" t="n"/>
      <c r="S71" s="11" t="n"/>
      <c r="T71" s="11">
        <f>IF(COUNT(M71:S71)&lt;7,"",ROUND(SUMPRODUCT(M71:S71,'マスタ設定'!$Q$2:$Q$8)*20,1))</f>
        <v/>
      </c>
      <c r="U71" s="11">
        <f>IF(T71="","",IF(T71&gt;='マスタ設定'!$S$5,"S：経営支援",IF(T71&gt;='マスタ設定'!$S$6,"A：重点",IF(T71&gt;='マスタ設定'!$S$7,"B：標準","C：省力化・撤退検討"))))</f>
        <v/>
      </c>
      <c r="V71" s="11">
        <f>IF(OR(L71="",K71=""),"",IF(AND(L71&lt;'マスタ設定'!$S$2,K71&gt;'マスタ設定'!$S$3),"要トリアージ",""))</f>
        <v/>
      </c>
      <c r="W71" s="11" t="n"/>
      <c r="X71" s="11" t="n"/>
      <c r="Y71" s="11" t="n"/>
      <c r="Z71" s="11">
        <f>IF(Y71="","",TODAY()-Y71)</f>
        <v/>
      </c>
      <c r="AA71" s="11">
        <f>IF(Z71="","",IF(Z71&gt;'マスタ設定'!$S$4,"停滞",""))</f>
        <v/>
      </c>
      <c r="AB71" s="11" t="n"/>
      <c r="AC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>
        <f>IF(OR(H72="",H72=0),"",I72/H72)</f>
        <v/>
      </c>
      <c r="K72" s="11" t="n"/>
      <c r="L72" s="11">
        <f>IF(OR(K72="",K72=0),"",ROUND(I72/K72,1))</f>
        <v/>
      </c>
      <c r="M72" s="11" t="n"/>
      <c r="N72" s="11" t="n"/>
      <c r="O72" s="11" t="n"/>
      <c r="P72" s="11" t="n"/>
      <c r="Q72" s="11" t="n"/>
      <c r="R72" s="11" t="n"/>
      <c r="S72" s="11" t="n"/>
      <c r="T72" s="11">
        <f>IF(COUNT(M72:S72)&lt;7,"",ROUND(SUMPRODUCT(M72:S72,'マスタ設定'!$Q$2:$Q$8)*20,1))</f>
        <v/>
      </c>
      <c r="U72" s="11">
        <f>IF(T72="","",IF(T72&gt;='マスタ設定'!$S$5,"S：経営支援",IF(T72&gt;='マスタ設定'!$S$6,"A：重点",IF(T72&gt;='マスタ設定'!$S$7,"B：標準","C：省力化・撤退検討"))))</f>
        <v/>
      </c>
      <c r="V72" s="11">
        <f>IF(OR(L72="",K72=""),"",IF(AND(L72&lt;'マスタ設定'!$S$2,K72&gt;'マスタ設定'!$S$3),"要トリアージ",""))</f>
        <v/>
      </c>
      <c r="W72" s="11" t="n"/>
      <c r="X72" s="11" t="n"/>
      <c r="Y72" s="11" t="n"/>
      <c r="Z72" s="11">
        <f>IF(Y72="","",TODAY()-Y72)</f>
        <v/>
      </c>
      <c r="AA72" s="11">
        <f>IF(Z72="","",IF(Z72&gt;'マスタ設定'!$S$4,"停滞",""))</f>
        <v/>
      </c>
      <c r="AB72" s="11" t="n"/>
      <c r="AC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>
        <f>IF(OR(H73="",H73=0),"",I73/H73)</f>
        <v/>
      </c>
      <c r="K73" s="11" t="n"/>
      <c r="L73" s="11">
        <f>IF(OR(K73="",K73=0),"",ROUND(I73/K73,1))</f>
        <v/>
      </c>
      <c r="M73" s="11" t="n"/>
      <c r="N73" s="11" t="n"/>
      <c r="O73" s="11" t="n"/>
      <c r="P73" s="11" t="n"/>
      <c r="Q73" s="11" t="n"/>
      <c r="R73" s="11" t="n"/>
      <c r="S73" s="11" t="n"/>
      <c r="T73" s="11">
        <f>IF(COUNT(M73:S73)&lt;7,"",ROUND(SUMPRODUCT(M73:S73,'マスタ設定'!$Q$2:$Q$8)*20,1))</f>
        <v/>
      </c>
      <c r="U73" s="11">
        <f>IF(T73="","",IF(T73&gt;='マスタ設定'!$S$5,"S：経営支援",IF(T73&gt;='マスタ設定'!$S$6,"A：重点",IF(T73&gt;='マスタ設定'!$S$7,"B：標準","C：省力化・撤退検討"))))</f>
        <v/>
      </c>
      <c r="V73" s="11">
        <f>IF(OR(L73="",K73=""),"",IF(AND(L73&lt;'マスタ設定'!$S$2,K73&gt;'マスタ設定'!$S$3),"要トリアージ",""))</f>
        <v/>
      </c>
      <c r="W73" s="11" t="n"/>
      <c r="X73" s="11" t="n"/>
      <c r="Y73" s="11" t="n"/>
      <c r="Z73" s="11">
        <f>IF(Y73="","",TODAY()-Y73)</f>
        <v/>
      </c>
      <c r="AA73" s="11">
        <f>IF(Z73="","",IF(Z73&gt;'マスタ設定'!$S$4,"停滞",""))</f>
        <v/>
      </c>
      <c r="AB73" s="11" t="n"/>
      <c r="AC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>
        <f>IF(OR(H74="",H74=0),"",I74/H74)</f>
        <v/>
      </c>
      <c r="K74" s="11" t="n"/>
      <c r="L74" s="11">
        <f>IF(OR(K74="",K74=0),"",ROUND(I74/K74,1))</f>
        <v/>
      </c>
      <c r="M74" s="11" t="n"/>
      <c r="N74" s="11" t="n"/>
      <c r="O74" s="11" t="n"/>
      <c r="P74" s="11" t="n"/>
      <c r="Q74" s="11" t="n"/>
      <c r="R74" s="11" t="n"/>
      <c r="S74" s="11" t="n"/>
      <c r="T74" s="11">
        <f>IF(COUNT(M74:S74)&lt;7,"",ROUND(SUMPRODUCT(M74:S74,'マスタ設定'!$Q$2:$Q$8)*20,1))</f>
        <v/>
      </c>
      <c r="U74" s="11">
        <f>IF(T74="","",IF(T74&gt;='マスタ設定'!$S$5,"S：経営支援",IF(T74&gt;='マスタ設定'!$S$6,"A：重点",IF(T74&gt;='マスタ設定'!$S$7,"B：標準","C：省力化・撤退検討"))))</f>
        <v/>
      </c>
      <c r="V74" s="11">
        <f>IF(OR(L74="",K74=""),"",IF(AND(L74&lt;'マスタ設定'!$S$2,K74&gt;'マスタ設定'!$S$3),"要トリアージ",""))</f>
        <v/>
      </c>
      <c r="W74" s="11" t="n"/>
      <c r="X74" s="11" t="n"/>
      <c r="Y74" s="11" t="n"/>
      <c r="Z74" s="11">
        <f>IF(Y74="","",TODAY()-Y74)</f>
        <v/>
      </c>
      <c r="AA74" s="11">
        <f>IF(Z74="","",IF(Z74&gt;'マスタ設定'!$S$4,"停滞",""))</f>
        <v/>
      </c>
      <c r="AB74" s="11" t="n"/>
      <c r="AC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>
        <f>IF(OR(H75="",H75=0),"",I75/H75)</f>
        <v/>
      </c>
      <c r="K75" s="11" t="n"/>
      <c r="L75" s="11">
        <f>IF(OR(K75="",K75=0),"",ROUND(I75/K75,1))</f>
        <v/>
      </c>
      <c r="M75" s="11" t="n"/>
      <c r="N75" s="11" t="n"/>
      <c r="O75" s="11" t="n"/>
      <c r="P75" s="11" t="n"/>
      <c r="Q75" s="11" t="n"/>
      <c r="R75" s="11" t="n"/>
      <c r="S75" s="11" t="n"/>
      <c r="T75" s="11">
        <f>IF(COUNT(M75:S75)&lt;7,"",ROUND(SUMPRODUCT(M75:S75,'マスタ設定'!$Q$2:$Q$8)*20,1))</f>
        <v/>
      </c>
      <c r="U75" s="11">
        <f>IF(T75="","",IF(T75&gt;='マスタ設定'!$S$5,"S：経営支援",IF(T75&gt;='マスタ設定'!$S$6,"A：重点",IF(T75&gt;='マスタ設定'!$S$7,"B：標準","C：省力化・撤退検討"))))</f>
        <v/>
      </c>
      <c r="V75" s="11">
        <f>IF(OR(L75="",K75=""),"",IF(AND(L75&lt;'マスタ設定'!$S$2,K75&gt;'マスタ設定'!$S$3),"要トリアージ",""))</f>
        <v/>
      </c>
      <c r="W75" s="11" t="n"/>
      <c r="X75" s="11" t="n"/>
      <c r="Y75" s="11" t="n"/>
      <c r="Z75" s="11">
        <f>IF(Y75="","",TODAY()-Y75)</f>
        <v/>
      </c>
      <c r="AA75" s="11">
        <f>IF(Z75="","",IF(Z75&gt;'マスタ設定'!$S$4,"停滞",""))</f>
        <v/>
      </c>
      <c r="AB75" s="11" t="n"/>
      <c r="AC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>
        <f>IF(OR(H76="",H76=0),"",I76/H76)</f>
        <v/>
      </c>
      <c r="K76" s="11" t="n"/>
      <c r="L76" s="11">
        <f>IF(OR(K76="",K76=0),"",ROUND(I76/K76,1))</f>
        <v/>
      </c>
      <c r="M76" s="11" t="n"/>
      <c r="N76" s="11" t="n"/>
      <c r="O76" s="11" t="n"/>
      <c r="P76" s="11" t="n"/>
      <c r="Q76" s="11" t="n"/>
      <c r="R76" s="11" t="n"/>
      <c r="S76" s="11" t="n"/>
      <c r="T76" s="11">
        <f>IF(COUNT(M76:S76)&lt;7,"",ROUND(SUMPRODUCT(M76:S76,'マスタ設定'!$Q$2:$Q$8)*20,1))</f>
        <v/>
      </c>
      <c r="U76" s="11">
        <f>IF(T76="","",IF(T76&gt;='マスタ設定'!$S$5,"S：経営支援",IF(T76&gt;='マスタ設定'!$S$6,"A：重点",IF(T76&gt;='マスタ設定'!$S$7,"B：標準","C：省力化・撤退検討"))))</f>
        <v/>
      </c>
      <c r="V76" s="11">
        <f>IF(OR(L76="",K76=""),"",IF(AND(L76&lt;'マスタ設定'!$S$2,K76&gt;'マスタ設定'!$S$3),"要トリアージ",""))</f>
        <v/>
      </c>
      <c r="W76" s="11" t="n"/>
      <c r="X76" s="11" t="n"/>
      <c r="Y76" s="11" t="n"/>
      <c r="Z76" s="11">
        <f>IF(Y76="","",TODAY()-Y76)</f>
        <v/>
      </c>
      <c r="AA76" s="11">
        <f>IF(Z76="","",IF(Z76&gt;'マスタ設定'!$S$4,"停滞",""))</f>
        <v/>
      </c>
      <c r="AB76" s="11" t="n"/>
      <c r="AC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>
        <f>IF(OR(H77="",H77=0),"",I77/H77)</f>
        <v/>
      </c>
      <c r="K77" s="11" t="n"/>
      <c r="L77" s="11">
        <f>IF(OR(K77="",K77=0),"",ROUND(I77/K77,1))</f>
        <v/>
      </c>
      <c r="M77" s="11" t="n"/>
      <c r="N77" s="11" t="n"/>
      <c r="O77" s="11" t="n"/>
      <c r="P77" s="11" t="n"/>
      <c r="Q77" s="11" t="n"/>
      <c r="R77" s="11" t="n"/>
      <c r="S77" s="11" t="n"/>
      <c r="T77" s="11">
        <f>IF(COUNT(M77:S77)&lt;7,"",ROUND(SUMPRODUCT(M77:S77,'マスタ設定'!$Q$2:$Q$8)*20,1))</f>
        <v/>
      </c>
      <c r="U77" s="11">
        <f>IF(T77="","",IF(T77&gt;='マスタ設定'!$S$5,"S：経営支援",IF(T77&gt;='マスタ設定'!$S$6,"A：重点",IF(T77&gt;='マスタ設定'!$S$7,"B：標準","C：省力化・撤退検討"))))</f>
        <v/>
      </c>
      <c r="V77" s="11">
        <f>IF(OR(L77="",K77=""),"",IF(AND(L77&lt;'マスタ設定'!$S$2,K77&gt;'マスタ設定'!$S$3),"要トリアージ",""))</f>
        <v/>
      </c>
      <c r="W77" s="11" t="n"/>
      <c r="X77" s="11" t="n"/>
      <c r="Y77" s="11" t="n"/>
      <c r="Z77" s="11">
        <f>IF(Y77="","",TODAY()-Y77)</f>
        <v/>
      </c>
      <c r="AA77" s="11">
        <f>IF(Z77="","",IF(Z77&gt;'マスタ設定'!$S$4,"停滞",""))</f>
        <v/>
      </c>
      <c r="AB77" s="11" t="n"/>
      <c r="AC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>
        <f>IF(OR(H78="",H78=0),"",I78/H78)</f>
        <v/>
      </c>
      <c r="K78" s="11" t="n"/>
      <c r="L78" s="11">
        <f>IF(OR(K78="",K78=0),"",ROUND(I78/K78,1))</f>
        <v/>
      </c>
      <c r="M78" s="11" t="n"/>
      <c r="N78" s="11" t="n"/>
      <c r="O78" s="11" t="n"/>
      <c r="P78" s="11" t="n"/>
      <c r="Q78" s="11" t="n"/>
      <c r="R78" s="11" t="n"/>
      <c r="S78" s="11" t="n"/>
      <c r="T78" s="11">
        <f>IF(COUNT(M78:S78)&lt;7,"",ROUND(SUMPRODUCT(M78:S78,'マスタ設定'!$Q$2:$Q$8)*20,1))</f>
        <v/>
      </c>
      <c r="U78" s="11">
        <f>IF(T78="","",IF(T78&gt;='マスタ設定'!$S$5,"S：経営支援",IF(T78&gt;='マスタ設定'!$S$6,"A：重点",IF(T78&gt;='マスタ設定'!$S$7,"B：標準","C：省力化・撤退検討"))))</f>
        <v/>
      </c>
      <c r="V78" s="11">
        <f>IF(OR(L78="",K78=""),"",IF(AND(L78&lt;'マスタ設定'!$S$2,K78&gt;'マスタ設定'!$S$3),"要トリアージ",""))</f>
        <v/>
      </c>
      <c r="W78" s="11" t="n"/>
      <c r="X78" s="11" t="n"/>
      <c r="Y78" s="11" t="n"/>
      <c r="Z78" s="11">
        <f>IF(Y78="","",TODAY()-Y78)</f>
        <v/>
      </c>
      <c r="AA78" s="11">
        <f>IF(Z78="","",IF(Z78&gt;'マスタ設定'!$S$4,"停滞",""))</f>
        <v/>
      </c>
      <c r="AB78" s="11" t="n"/>
      <c r="AC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>
        <f>IF(OR(H79="",H79=0),"",I79/H79)</f>
        <v/>
      </c>
      <c r="K79" s="11" t="n"/>
      <c r="L79" s="11">
        <f>IF(OR(K79="",K79=0),"",ROUND(I79/K79,1))</f>
        <v/>
      </c>
      <c r="M79" s="11" t="n"/>
      <c r="N79" s="11" t="n"/>
      <c r="O79" s="11" t="n"/>
      <c r="P79" s="11" t="n"/>
      <c r="Q79" s="11" t="n"/>
      <c r="R79" s="11" t="n"/>
      <c r="S79" s="11" t="n"/>
      <c r="T79" s="11">
        <f>IF(COUNT(M79:S79)&lt;7,"",ROUND(SUMPRODUCT(M79:S79,'マスタ設定'!$Q$2:$Q$8)*20,1))</f>
        <v/>
      </c>
      <c r="U79" s="11">
        <f>IF(T79="","",IF(T79&gt;='マスタ設定'!$S$5,"S：経営支援",IF(T79&gt;='マスタ設定'!$S$6,"A：重点",IF(T79&gt;='マスタ設定'!$S$7,"B：標準","C：省力化・撤退検討"))))</f>
        <v/>
      </c>
      <c r="V79" s="11">
        <f>IF(OR(L79="",K79=""),"",IF(AND(L79&lt;'マスタ設定'!$S$2,K79&gt;'マスタ設定'!$S$3),"要トリアージ",""))</f>
        <v/>
      </c>
      <c r="W79" s="11" t="n"/>
      <c r="X79" s="11" t="n"/>
      <c r="Y79" s="11" t="n"/>
      <c r="Z79" s="11">
        <f>IF(Y79="","",TODAY()-Y79)</f>
        <v/>
      </c>
      <c r="AA79" s="11">
        <f>IF(Z79="","",IF(Z79&gt;'マスタ設定'!$S$4,"停滞",""))</f>
        <v/>
      </c>
      <c r="AB79" s="11" t="n"/>
      <c r="AC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>
        <f>IF(OR(H80="",H80=0),"",I80/H80)</f>
        <v/>
      </c>
      <c r="K80" s="11" t="n"/>
      <c r="L80" s="11">
        <f>IF(OR(K80="",K80=0),"",ROUND(I80/K80,1))</f>
        <v/>
      </c>
      <c r="M80" s="11" t="n"/>
      <c r="N80" s="11" t="n"/>
      <c r="O80" s="11" t="n"/>
      <c r="P80" s="11" t="n"/>
      <c r="Q80" s="11" t="n"/>
      <c r="R80" s="11" t="n"/>
      <c r="S80" s="11" t="n"/>
      <c r="T80" s="11">
        <f>IF(COUNT(M80:S80)&lt;7,"",ROUND(SUMPRODUCT(M80:S80,'マスタ設定'!$Q$2:$Q$8)*20,1))</f>
        <v/>
      </c>
      <c r="U80" s="11">
        <f>IF(T80="","",IF(T80&gt;='マスタ設定'!$S$5,"S：経営支援",IF(T80&gt;='マスタ設定'!$S$6,"A：重点",IF(T80&gt;='マスタ設定'!$S$7,"B：標準","C：省力化・撤退検討"))))</f>
        <v/>
      </c>
      <c r="V80" s="11">
        <f>IF(OR(L80="",K80=""),"",IF(AND(L80&lt;'マスタ設定'!$S$2,K80&gt;'マスタ設定'!$S$3),"要トリアージ",""))</f>
        <v/>
      </c>
      <c r="W80" s="11" t="n"/>
      <c r="X80" s="11" t="n"/>
      <c r="Y80" s="11" t="n"/>
      <c r="Z80" s="11">
        <f>IF(Y80="","",TODAY()-Y80)</f>
        <v/>
      </c>
      <c r="AA80" s="11">
        <f>IF(Z80="","",IF(Z80&gt;'マスタ設定'!$S$4,"停滞",""))</f>
        <v/>
      </c>
      <c r="AB80" s="11" t="n"/>
      <c r="AC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>
        <f>IF(OR(H81="",H81=0),"",I81/H81)</f>
        <v/>
      </c>
      <c r="K81" s="11" t="n"/>
      <c r="L81" s="11">
        <f>IF(OR(K81="",K81=0),"",ROUND(I81/K81,1))</f>
        <v/>
      </c>
      <c r="M81" s="11" t="n"/>
      <c r="N81" s="11" t="n"/>
      <c r="O81" s="11" t="n"/>
      <c r="P81" s="11" t="n"/>
      <c r="Q81" s="11" t="n"/>
      <c r="R81" s="11" t="n"/>
      <c r="S81" s="11" t="n"/>
      <c r="T81" s="11">
        <f>IF(COUNT(M81:S81)&lt;7,"",ROUND(SUMPRODUCT(M81:S81,'マスタ設定'!$Q$2:$Q$8)*20,1))</f>
        <v/>
      </c>
      <c r="U81" s="11">
        <f>IF(T81="","",IF(T81&gt;='マスタ設定'!$S$5,"S：経営支援",IF(T81&gt;='マスタ設定'!$S$6,"A：重点",IF(T81&gt;='マスタ設定'!$S$7,"B：標準","C：省力化・撤退検討"))))</f>
        <v/>
      </c>
      <c r="V81" s="11">
        <f>IF(OR(L81="",K81=""),"",IF(AND(L81&lt;'マスタ設定'!$S$2,K81&gt;'マスタ設定'!$S$3),"要トリアージ",""))</f>
        <v/>
      </c>
      <c r="W81" s="11" t="n"/>
      <c r="X81" s="11" t="n"/>
      <c r="Y81" s="11" t="n"/>
      <c r="Z81" s="11">
        <f>IF(Y81="","",TODAY()-Y81)</f>
        <v/>
      </c>
      <c r="AA81" s="11">
        <f>IF(Z81="","",IF(Z81&gt;'マスタ設定'!$S$4,"停滞",""))</f>
        <v/>
      </c>
      <c r="AB81" s="11" t="n"/>
      <c r="AC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>
        <f>IF(OR(H82="",H82=0),"",I82/H82)</f>
        <v/>
      </c>
      <c r="K82" s="11" t="n"/>
      <c r="L82" s="11">
        <f>IF(OR(K82="",K82=0),"",ROUND(I82/K82,1))</f>
        <v/>
      </c>
      <c r="M82" s="11" t="n"/>
      <c r="N82" s="11" t="n"/>
      <c r="O82" s="11" t="n"/>
      <c r="P82" s="11" t="n"/>
      <c r="Q82" s="11" t="n"/>
      <c r="R82" s="11" t="n"/>
      <c r="S82" s="11" t="n"/>
      <c r="T82" s="11">
        <f>IF(COUNT(M82:S82)&lt;7,"",ROUND(SUMPRODUCT(M82:S82,'マスタ設定'!$Q$2:$Q$8)*20,1))</f>
        <v/>
      </c>
      <c r="U82" s="11">
        <f>IF(T82="","",IF(T82&gt;='マスタ設定'!$S$5,"S：経営支援",IF(T82&gt;='マスタ設定'!$S$6,"A：重点",IF(T82&gt;='マスタ設定'!$S$7,"B：標準","C：省力化・撤退検討"))))</f>
        <v/>
      </c>
      <c r="V82" s="11">
        <f>IF(OR(L82="",K82=""),"",IF(AND(L82&lt;'マスタ設定'!$S$2,K82&gt;'マスタ設定'!$S$3),"要トリアージ",""))</f>
        <v/>
      </c>
      <c r="W82" s="11" t="n"/>
      <c r="X82" s="11" t="n"/>
      <c r="Y82" s="11" t="n"/>
      <c r="Z82" s="11">
        <f>IF(Y82="","",TODAY()-Y82)</f>
        <v/>
      </c>
      <c r="AA82" s="11">
        <f>IF(Z82="","",IF(Z82&gt;'マスタ設定'!$S$4,"停滞",""))</f>
        <v/>
      </c>
      <c r="AB82" s="11" t="n"/>
      <c r="AC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>
        <f>IF(OR(H83="",H83=0),"",I83/H83)</f>
        <v/>
      </c>
      <c r="K83" s="11" t="n"/>
      <c r="L83" s="11">
        <f>IF(OR(K83="",K83=0),"",ROUND(I83/K83,1))</f>
        <v/>
      </c>
      <c r="M83" s="11" t="n"/>
      <c r="N83" s="11" t="n"/>
      <c r="O83" s="11" t="n"/>
      <c r="P83" s="11" t="n"/>
      <c r="Q83" s="11" t="n"/>
      <c r="R83" s="11" t="n"/>
      <c r="S83" s="11" t="n"/>
      <c r="T83" s="11">
        <f>IF(COUNT(M83:S83)&lt;7,"",ROUND(SUMPRODUCT(M83:S83,'マスタ設定'!$Q$2:$Q$8)*20,1))</f>
        <v/>
      </c>
      <c r="U83" s="11">
        <f>IF(T83="","",IF(T83&gt;='マスタ設定'!$S$5,"S：経営支援",IF(T83&gt;='マスタ設定'!$S$6,"A：重点",IF(T83&gt;='マスタ設定'!$S$7,"B：標準","C：省力化・撤退検討"))))</f>
        <v/>
      </c>
      <c r="V83" s="11">
        <f>IF(OR(L83="",K83=""),"",IF(AND(L83&lt;'マスタ設定'!$S$2,K83&gt;'マスタ設定'!$S$3),"要トリアージ",""))</f>
        <v/>
      </c>
      <c r="W83" s="11" t="n"/>
      <c r="X83" s="11" t="n"/>
      <c r="Y83" s="11" t="n"/>
      <c r="Z83" s="11">
        <f>IF(Y83="","",TODAY()-Y83)</f>
        <v/>
      </c>
      <c r="AA83" s="11">
        <f>IF(Z83="","",IF(Z83&gt;'マスタ設定'!$S$4,"停滞",""))</f>
        <v/>
      </c>
      <c r="AB83" s="11" t="n"/>
      <c r="AC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>
        <f>IF(OR(H84="",H84=0),"",I84/H84)</f>
        <v/>
      </c>
      <c r="K84" s="11" t="n"/>
      <c r="L84" s="11">
        <f>IF(OR(K84="",K84=0),"",ROUND(I84/K84,1))</f>
        <v/>
      </c>
      <c r="M84" s="11" t="n"/>
      <c r="N84" s="11" t="n"/>
      <c r="O84" s="11" t="n"/>
      <c r="P84" s="11" t="n"/>
      <c r="Q84" s="11" t="n"/>
      <c r="R84" s="11" t="n"/>
      <c r="S84" s="11" t="n"/>
      <c r="T84" s="11">
        <f>IF(COUNT(M84:S84)&lt;7,"",ROUND(SUMPRODUCT(M84:S84,'マスタ設定'!$Q$2:$Q$8)*20,1))</f>
        <v/>
      </c>
      <c r="U84" s="11">
        <f>IF(T84="","",IF(T84&gt;='マスタ設定'!$S$5,"S：経営支援",IF(T84&gt;='マスタ設定'!$S$6,"A：重点",IF(T84&gt;='マスタ設定'!$S$7,"B：標準","C：省力化・撤退検討"))))</f>
        <v/>
      </c>
      <c r="V84" s="11">
        <f>IF(OR(L84="",K84=""),"",IF(AND(L84&lt;'マスタ設定'!$S$2,K84&gt;'マスタ設定'!$S$3),"要トリアージ",""))</f>
        <v/>
      </c>
      <c r="W84" s="11" t="n"/>
      <c r="X84" s="11" t="n"/>
      <c r="Y84" s="11" t="n"/>
      <c r="Z84" s="11">
        <f>IF(Y84="","",TODAY()-Y84)</f>
        <v/>
      </c>
      <c r="AA84" s="11">
        <f>IF(Z84="","",IF(Z84&gt;'マスタ設定'!$S$4,"停滞",""))</f>
        <v/>
      </c>
      <c r="AB84" s="11" t="n"/>
      <c r="AC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>
        <f>IF(OR(H85="",H85=0),"",I85/H85)</f>
        <v/>
      </c>
      <c r="K85" s="11" t="n"/>
      <c r="L85" s="11">
        <f>IF(OR(K85="",K85=0),"",ROUND(I85/K85,1))</f>
        <v/>
      </c>
      <c r="M85" s="11" t="n"/>
      <c r="N85" s="11" t="n"/>
      <c r="O85" s="11" t="n"/>
      <c r="P85" s="11" t="n"/>
      <c r="Q85" s="11" t="n"/>
      <c r="R85" s="11" t="n"/>
      <c r="S85" s="11" t="n"/>
      <c r="T85" s="11">
        <f>IF(COUNT(M85:S85)&lt;7,"",ROUND(SUMPRODUCT(M85:S85,'マスタ設定'!$Q$2:$Q$8)*20,1))</f>
        <v/>
      </c>
      <c r="U85" s="11">
        <f>IF(T85="","",IF(T85&gt;='マスタ設定'!$S$5,"S：経営支援",IF(T85&gt;='マスタ設定'!$S$6,"A：重点",IF(T85&gt;='マスタ設定'!$S$7,"B：標準","C：省力化・撤退検討"))))</f>
        <v/>
      </c>
      <c r="V85" s="11">
        <f>IF(OR(L85="",K85=""),"",IF(AND(L85&lt;'マスタ設定'!$S$2,K85&gt;'マスタ設定'!$S$3),"要トリアージ",""))</f>
        <v/>
      </c>
      <c r="W85" s="11" t="n"/>
      <c r="X85" s="11" t="n"/>
      <c r="Y85" s="11" t="n"/>
      <c r="Z85" s="11">
        <f>IF(Y85="","",TODAY()-Y85)</f>
        <v/>
      </c>
      <c r="AA85" s="11">
        <f>IF(Z85="","",IF(Z85&gt;'マスタ設定'!$S$4,"停滞",""))</f>
        <v/>
      </c>
      <c r="AB85" s="11" t="n"/>
      <c r="AC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>
        <f>IF(OR(H86="",H86=0),"",I86/H86)</f>
        <v/>
      </c>
      <c r="K86" s="11" t="n"/>
      <c r="L86" s="11">
        <f>IF(OR(K86="",K86=0),"",ROUND(I86/K86,1))</f>
        <v/>
      </c>
      <c r="M86" s="11" t="n"/>
      <c r="N86" s="11" t="n"/>
      <c r="O86" s="11" t="n"/>
      <c r="P86" s="11" t="n"/>
      <c r="Q86" s="11" t="n"/>
      <c r="R86" s="11" t="n"/>
      <c r="S86" s="11" t="n"/>
      <c r="T86" s="11">
        <f>IF(COUNT(M86:S86)&lt;7,"",ROUND(SUMPRODUCT(M86:S86,'マスタ設定'!$Q$2:$Q$8)*20,1))</f>
        <v/>
      </c>
      <c r="U86" s="11">
        <f>IF(T86="","",IF(T86&gt;='マスタ設定'!$S$5,"S：経営支援",IF(T86&gt;='マスタ設定'!$S$6,"A：重点",IF(T86&gt;='マスタ設定'!$S$7,"B：標準","C：省力化・撤退検討"))))</f>
        <v/>
      </c>
      <c r="V86" s="11">
        <f>IF(OR(L86="",K86=""),"",IF(AND(L86&lt;'マスタ設定'!$S$2,K86&gt;'マスタ設定'!$S$3),"要トリアージ",""))</f>
        <v/>
      </c>
      <c r="W86" s="11" t="n"/>
      <c r="X86" s="11" t="n"/>
      <c r="Y86" s="11" t="n"/>
      <c r="Z86" s="11">
        <f>IF(Y86="","",TODAY()-Y86)</f>
        <v/>
      </c>
      <c r="AA86" s="11">
        <f>IF(Z86="","",IF(Z86&gt;'マスタ設定'!$S$4,"停滞",""))</f>
        <v/>
      </c>
      <c r="AB86" s="11" t="n"/>
      <c r="AC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>
        <f>IF(OR(H87="",H87=0),"",I87/H87)</f>
        <v/>
      </c>
      <c r="K87" s="11" t="n"/>
      <c r="L87" s="11">
        <f>IF(OR(K87="",K87=0),"",ROUND(I87/K87,1))</f>
        <v/>
      </c>
      <c r="M87" s="11" t="n"/>
      <c r="N87" s="11" t="n"/>
      <c r="O87" s="11" t="n"/>
      <c r="P87" s="11" t="n"/>
      <c r="Q87" s="11" t="n"/>
      <c r="R87" s="11" t="n"/>
      <c r="S87" s="11" t="n"/>
      <c r="T87" s="11">
        <f>IF(COUNT(M87:S87)&lt;7,"",ROUND(SUMPRODUCT(M87:S87,'マスタ設定'!$Q$2:$Q$8)*20,1))</f>
        <v/>
      </c>
      <c r="U87" s="11">
        <f>IF(T87="","",IF(T87&gt;='マスタ設定'!$S$5,"S：経営支援",IF(T87&gt;='マスタ設定'!$S$6,"A：重点",IF(T87&gt;='マスタ設定'!$S$7,"B：標準","C：省力化・撤退検討"))))</f>
        <v/>
      </c>
      <c r="V87" s="11">
        <f>IF(OR(L87="",K87=""),"",IF(AND(L87&lt;'マスタ設定'!$S$2,K87&gt;'マスタ設定'!$S$3),"要トリアージ",""))</f>
        <v/>
      </c>
      <c r="W87" s="11" t="n"/>
      <c r="X87" s="11" t="n"/>
      <c r="Y87" s="11" t="n"/>
      <c r="Z87" s="11">
        <f>IF(Y87="","",TODAY()-Y87)</f>
        <v/>
      </c>
      <c r="AA87" s="11">
        <f>IF(Z87="","",IF(Z87&gt;'マスタ設定'!$S$4,"停滞",""))</f>
        <v/>
      </c>
      <c r="AB87" s="11" t="n"/>
      <c r="AC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>
        <f>IF(OR(H88="",H88=0),"",I88/H88)</f>
        <v/>
      </c>
      <c r="K88" s="11" t="n"/>
      <c r="L88" s="11">
        <f>IF(OR(K88="",K88=0),"",ROUND(I88/K88,1))</f>
        <v/>
      </c>
      <c r="M88" s="11" t="n"/>
      <c r="N88" s="11" t="n"/>
      <c r="O88" s="11" t="n"/>
      <c r="P88" s="11" t="n"/>
      <c r="Q88" s="11" t="n"/>
      <c r="R88" s="11" t="n"/>
      <c r="S88" s="11" t="n"/>
      <c r="T88" s="11">
        <f>IF(COUNT(M88:S88)&lt;7,"",ROUND(SUMPRODUCT(M88:S88,'マスタ設定'!$Q$2:$Q$8)*20,1))</f>
        <v/>
      </c>
      <c r="U88" s="11">
        <f>IF(T88="","",IF(T88&gt;='マスタ設定'!$S$5,"S：経営支援",IF(T88&gt;='マスタ設定'!$S$6,"A：重点",IF(T88&gt;='マスタ設定'!$S$7,"B：標準","C：省力化・撤退検討"))))</f>
        <v/>
      </c>
      <c r="V88" s="11">
        <f>IF(OR(L88="",K88=""),"",IF(AND(L88&lt;'マスタ設定'!$S$2,K88&gt;'マスタ設定'!$S$3),"要トリアージ",""))</f>
        <v/>
      </c>
      <c r="W88" s="11" t="n"/>
      <c r="X88" s="11" t="n"/>
      <c r="Y88" s="11" t="n"/>
      <c r="Z88" s="11">
        <f>IF(Y88="","",TODAY()-Y88)</f>
        <v/>
      </c>
      <c r="AA88" s="11">
        <f>IF(Z88="","",IF(Z88&gt;'マスタ設定'!$S$4,"停滞",""))</f>
        <v/>
      </c>
      <c r="AB88" s="11" t="n"/>
      <c r="AC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>
        <f>IF(OR(H89="",H89=0),"",I89/H89)</f>
        <v/>
      </c>
      <c r="K89" s="11" t="n"/>
      <c r="L89" s="11">
        <f>IF(OR(K89="",K89=0),"",ROUND(I89/K89,1))</f>
        <v/>
      </c>
      <c r="M89" s="11" t="n"/>
      <c r="N89" s="11" t="n"/>
      <c r="O89" s="11" t="n"/>
      <c r="P89" s="11" t="n"/>
      <c r="Q89" s="11" t="n"/>
      <c r="R89" s="11" t="n"/>
      <c r="S89" s="11" t="n"/>
      <c r="T89" s="11">
        <f>IF(COUNT(M89:S89)&lt;7,"",ROUND(SUMPRODUCT(M89:S89,'マスタ設定'!$Q$2:$Q$8)*20,1))</f>
        <v/>
      </c>
      <c r="U89" s="11">
        <f>IF(T89="","",IF(T89&gt;='マスタ設定'!$S$5,"S：経営支援",IF(T89&gt;='マスタ設定'!$S$6,"A：重点",IF(T89&gt;='マスタ設定'!$S$7,"B：標準","C：省力化・撤退検討"))))</f>
        <v/>
      </c>
      <c r="V89" s="11">
        <f>IF(OR(L89="",K89=""),"",IF(AND(L89&lt;'マスタ設定'!$S$2,K89&gt;'マスタ設定'!$S$3),"要トリアージ",""))</f>
        <v/>
      </c>
      <c r="W89" s="11" t="n"/>
      <c r="X89" s="11" t="n"/>
      <c r="Y89" s="11" t="n"/>
      <c r="Z89" s="11">
        <f>IF(Y89="","",TODAY()-Y89)</f>
        <v/>
      </c>
      <c r="AA89" s="11">
        <f>IF(Z89="","",IF(Z89&gt;'マスタ設定'!$S$4,"停滞",""))</f>
        <v/>
      </c>
      <c r="AB89" s="11" t="n"/>
      <c r="AC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>
        <f>IF(OR(H90="",H90=0),"",I90/H90)</f>
        <v/>
      </c>
      <c r="K90" s="11" t="n"/>
      <c r="L90" s="11">
        <f>IF(OR(K90="",K90=0),"",ROUND(I90/K90,1))</f>
        <v/>
      </c>
      <c r="M90" s="11" t="n"/>
      <c r="N90" s="11" t="n"/>
      <c r="O90" s="11" t="n"/>
      <c r="P90" s="11" t="n"/>
      <c r="Q90" s="11" t="n"/>
      <c r="R90" s="11" t="n"/>
      <c r="S90" s="11" t="n"/>
      <c r="T90" s="11">
        <f>IF(COUNT(M90:S90)&lt;7,"",ROUND(SUMPRODUCT(M90:S90,'マスタ設定'!$Q$2:$Q$8)*20,1))</f>
        <v/>
      </c>
      <c r="U90" s="11">
        <f>IF(T90="","",IF(T90&gt;='マスタ設定'!$S$5,"S：経営支援",IF(T90&gt;='マスタ設定'!$S$6,"A：重点",IF(T90&gt;='マスタ設定'!$S$7,"B：標準","C：省力化・撤退検討"))))</f>
        <v/>
      </c>
      <c r="V90" s="11">
        <f>IF(OR(L90="",K90=""),"",IF(AND(L90&lt;'マスタ設定'!$S$2,K90&gt;'マスタ設定'!$S$3),"要トリアージ",""))</f>
        <v/>
      </c>
      <c r="W90" s="11" t="n"/>
      <c r="X90" s="11" t="n"/>
      <c r="Y90" s="11" t="n"/>
      <c r="Z90" s="11">
        <f>IF(Y90="","",TODAY()-Y90)</f>
        <v/>
      </c>
      <c r="AA90" s="11">
        <f>IF(Z90="","",IF(Z90&gt;'マスタ設定'!$S$4,"停滞",""))</f>
        <v/>
      </c>
      <c r="AB90" s="11" t="n"/>
      <c r="AC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>
        <f>IF(OR(H91="",H91=0),"",I91/H91)</f>
        <v/>
      </c>
      <c r="K91" s="11" t="n"/>
      <c r="L91" s="11">
        <f>IF(OR(K91="",K91=0),"",ROUND(I91/K91,1))</f>
        <v/>
      </c>
      <c r="M91" s="11" t="n"/>
      <c r="N91" s="11" t="n"/>
      <c r="O91" s="11" t="n"/>
      <c r="P91" s="11" t="n"/>
      <c r="Q91" s="11" t="n"/>
      <c r="R91" s="11" t="n"/>
      <c r="S91" s="11" t="n"/>
      <c r="T91" s="11">
        <f>IF(COUNT(M91:S91)&lt;7,"",ROUND(SUMPRODUCT(M91:S91,'マスタ設定'!$Q$2:$Q$8)*20,1))</f>
        <v/>
      </c>
      <c r="U91" s="11">
        <f>IF(T91="","",IF(T91&gt;='マスタ設定'!$S$5,"S：経営支援",IF(T91&gt;='マスタ設定'!$S$6,"A：重点",IF(T91&gt;='マスタ設定'!$S$7,"B：標準","C：省力化・撤退検討"))))</f>
        <v/>
      </c>
      <c r="V91" s="11">
        <f>IF(OR(L91="",K91=""),"",IF(AND(L91&lt;'マスタ設定'!$S$2,K91&gt;'マスタ設定'!$S$3),"要トリアージ",""))</f>
        <v/>
      </c>
      <c r="W91" s="11" t="n"/>
      <c r="X91" s="11" t="n"/>
      <c r="Y91" s="11" t="n"/>
      <c r="Z91" s="11">
        <f>IF(Y91="","",TODAY()-Y91)</f>
        <v/>
      </c>
      <c r="AA91" s="11">
        <f>IF(Z91="","",IF(Z91&gt;'マスタ設定'!$S$4,"停滞",""))</f>
        <v/>
      </c>
      <c r="AB91" s="11" t="n"/>
      <c r="AC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>
        <f>IF(OR(H92="",H92=0),"",I92/H92)</f>
        <v/>
      </c>
      <c r="K92" s="11" t="n"/>
      <c r="L92" s="11">
        <f>IF(OR(K92="",K92=0),"",ROUND(I92/K92,1))</f>
        <v/>
      </c>
      <c r="M92" s="11" t="n"/>
      <c r="N92" s="11" t="n"/>
      <c r="O92" s="11" t="n"/>
      <c r="P92" s="11" t="n"/>
      <c r="Q92" s="11" t="n"/>
      <c r="R92" s="11" t="n"/>
      <c r="S92" s="11" t="n"/>
      <c r="T92" s="11">
        <f>IF(COUNT(M92:S92)&lt;7,"",ROUND(SUMPRODUCT(M92:S92,'マスタ設定'!$Q$2:$Q$8)*20,1))</f>
        <v/>
      </c>
      <c r="U92" s="11">
        <f>IF(T92="","",IF(T92&gt;='マスタ設定'!$S$5,"S：経営支援",IF(T92&gt;='マスタ設定'!$S$6,"A：重点",IF(T92&gt;='マスタ設定'!$S$7,"B：標準","C：省力化・撤退検討"))))</f>
        <v/>
      </c>
      <c r="V92" s="11">
        <f>IF(OR(L92="",K92=""),"",IF(AND(L92&lt;'マスタ設定'!$S$2,K92&gt;'マスタ設定'!$S$3),"要トリアージ",""))</f>
        <v/>
      </c>
      <c r="W92" s="11" t="n"/>
      <c r="X92" s="11" t="n"/>
      <c r="Y92" s="11" t="n"/>
      <c r="Z92" s="11">
        <f>IF(Y92="","",TODAY()-Y92)</f>
        <v/>
      </c>
      <c r="AA92" s="11">
        <f>IF(Z92="","",IF(Z92&gt;'マスタ設定'!$S$4,"停滞",""))</f>
        <v/>
      </c>
      <c r="AB92" s="11" t="n"/>
      <c r="AC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>
        <f>IF(OR(H93="",H93=0),"",I93/H93)</f>
        <v/>
      </c>
      <c r="K93" s="11" t="n"/>
      <c r="L93" s="11">
        <f>IF(OR(K93="",K93=0),"",ROUND(I93/K93,1))</f>
        <v/>
      </c>
      <c r="M93" s="11" t="n"/>
      <c r="N93" s="11" t="n"/>
      <c r="O93" s="11" t="n"/>
      <c r="P93" s="11" t="n"/>
      <c r="Q93" s="11" t="n"/>
      <c r="R93" s="11" t="n"/>
      <c r="S93" s="11" t="n"/>
      <c r="T93" s="11">
        <f>IF(COUNT(M93:S93)&lt;7,"",ROUND(SUMPRODUCT(M93:S93,'マスタ設定'!$Q$2:$Q$8)*20,1))</f>
        <v/>
      </c>
      <c r="U93" s="11">
        <f>IF(T93="","",IF(T93&gt;='マスタ設定'!$S$5,"S：経営支援",IF(T93&gt;='マスタ設定'!$S$6,"A：重点",IF(T93&gt;='マスタ設定'!$S$7,"B：標準","C：省力化・撤退検討"))))</f>
        <v/>
      </c>
      <c r="V93" s="11">
        <f>IF(OR(L93="",K93=""),"",IF(AND(L93&lt;'マスタ設定'!$S$2,K93&gt;'マスタ設定'!$S$3),"要トリアージ",""))</f>
        <v/>
      </c>
      <c r="W93" s="11" t="n"/>
      <c r="X93" s="11" t="n"/>
      <c r="Y93" s="11" t="n"/>
      <c r="Z93" s="11">
        <f>IF(Y93="","",TODAY()-Y93)</f>
        <v/>
      </c>
      <c r="AA93" s="11">
        <f>IF(Z93="","",IF(Z93&gt;'マスタ設定'!$S$4,"停滞",""))</f>
        <v/>
      </c>
      <c r="AB93" s="11" t="n"/>
      <c r="AC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>
        <f>IF(OR(H94="",H94=0),"",I94/H94)</f>
        <v/>
      </c>
      <c r="K94" s="11" t="n"/>
      <c r="L94" s="11">
        <f>IF(OR(K94="",K94=0),"",ROUND(I94/K94,1))</f>
        <v/>
      </c>
      <c r="M94" s="11" t="n"/>
      <c r="N94" s="11" t="n"/>
      <c r="O94" s="11" t="n"/>
      <c r="P94" s="11" t="n"/>
      <c r="Q94" s="11" t="n"/>
      <c r="R94" s="11" t="n"/>
      <c r="S94" s="11" t="n"/>
      <c r="T94" s="11">
        <f>IF(COUNT(M94:S94)&lt;7,"",ROUND(SUMPRODUCT(M94:S94,'マスタ設定'!$Q$2:$Q$8)*20,1))</f>
        <v/>
      </c>
      <c r="U94" s="11">
        <f>IF(T94="","",IF(T94&gt;='マスタ設定'!$S$5,"S：経営支援",IF(T94&gt;='マスタ設定'!$S$6,"A：重点",IF(T94&gt;='マスタ設定'!$S$7,"B：標準","C：省力化・撤退検討"))))</f>
        <v/>
      </c>
      <c r="V94" s="11">
        <f>IF(OR(L94="",K94=""),"",IF(AND(L94&lt;'マスタ設定'!$S$2,K94&gt;'マスタ設定'!$S$3),"要トリアージ",""))</f>
        <v/>
      </c>
      <c r="W94" s="11" t="n"/>
      <c r="X94" s="11" t="n"/>
      <c r="Y94" s="11" t="n"/>
      <c r="Z94" s="11">
        <f>IF(Y94="","",TODAY()-Y94)</f>
        <v/>
      </c>
      <c r="AA94" s="11">
        <f>IF(Z94="","",IF(Z94&gt;'マスタ設定'!$S$4,"停滞",""))</f>
        <v/>
      </c>
      <c r="AB94" s="11" t="n"/>
      <c r="AC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>
        <f>IF(OR(H95="",H95=0),"",I95/H95)</f>
        <v/>
      </c>
      <c r="K95" s="11" t="n"/>
      <c r="L95" s="11">
        <f>IF(OR(K95="",K95=0),"",ROUND(I95/K95,1))</f>
        <v/>
      </c>
      <c r="M95" s="11" t="n"/>
      <c r="N95" s="11" t="n"/>
      <c r="O95" s="11" t="n"/>
      <c r="P95" s="11" t="n"/>
      <c r="Q95" s="11" t="n"/>
      <c r="R95" s="11" t="n"/>
      <c r="S95" s="11" t="n"/>
      <c r="T95" s="11">
        <f>IF(COUNT(M95:S95)&lt;7,"",ROUND(SUMPRODUCT(M95:S95,'マスタ設定'!$Q$2:$Q$8)*20,1))</f>
        <v/>
      </c>
      <c r="U95" s="11">
        <f>IF(T95="","",IF(T95&gt;='マスタ設定'!$S$5,"S：経営支援",IF(T95&gt;='マスタ設定'!$S$6,"A：重点",IF(T95&gt;='マスタ設定'!$S$7,"B：標準","C：省力化・撤退検討"))))</f>
        <v/>
      </c>
      <c r="V95" s="11">
        <f>IF(OR(L95="",K95=""),"",IF(AND(L95&lt;'マスタ設定'!$S$2,K95&gt;'マスタ設定'!$S$3),"要トリアージ",""))</f>
        <v/>
      </c>
      <c r="W95" s="11" t="n"/>
      <c r="X95" s="11" t="n"/>
      <c r="Y95" s="11" t="n"/>
      <c r="Z95" s="11">
        <f>IF(Y95="","",TODAY()-Y95)</f>
        <v/>
      </c>
      <c r="AA95" s="11">
        <f>IF(Z95="","",IF(Z95&gt;'マスタ設定'!$S$4,"停滞",""))</f>
        <v/>
      </c>
      <c r="AB95" s="11" t="n"/>
      <c r="AC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>
        <f>IF(OR(H96="",H96=0),"",I96/H96)</f>
        <v/>
      </c>
      <c r="K96" s="11" t="n"/>
      <c r="L96" s="11">
        <f>IF(OR(K96="",K96=0),"",ROUND(I96/K96,1))</f>
        <v/>
      </c>
      <c r="M96" s="11" t="n"/>
      <c r="N96" s="11" t="n"/>
      <c r="O96" s="11" t="n"/>
      <c r="P96" s="11" t="n"/>
      <c r="Q96" s="11" t="n"/>
      <c r="R96" s="11" t="n"/>
      <c r="S96" s="11" t="n"/>
      <c r="T96" s="11">
        <f>IF(COUNT(M96:S96)&lt;7,"",ROUND(SUMPRODUCT(M96:S96,'マスタ設定'!$Q$2:$Q$8)*20,1))</f>
        <v/>
      </c>
      <c r="U96" s="11">
        <f>IF(T96="","",IF(T96&gt;='マスタ設定'!$S$5,"S：経営支援",IF(T96&gt;='マスタ設定'!$S$6,"A：重点",IF(T96&gt;='マスタ設定'!$S$7,"B：標準","C：省力化・撤退検討"))))</f>
        <v/>
      </c>
      <c r="V96" s="11">
        <f>IF(OR(L96="",K96=""),"",IF(AND(L96&lt;'マスタ設定'!$S$2,K96&gt;'マスタ設定'!$S$3),"要トリアージ",""))</f>
        <v/>
      </c>
      <c r="W96" s="11" t="n"/>
      <c r="X96" s="11" t="n"/>
      <c r="Y96" s="11" t="n"/>
      <c r="Z96" s="11">
        <f>IF(Y96="","",TODAY()-Y96)</f>
        <v/>
      </c>
      <c r="AA96" s="11">
        <f>IF(Z96="","",IF(Z96&gt;'マスタ設定'!$S$4,"停滞",""))</f>
        <v/>
      </c>
      <c r="AB96" s="11" t="n"/>
      <c r="AC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>
        <f>IF(OR(H97="",H97=0),"",I97/H97)</f>
        <v/>
      </c>
      <c r="K97" s="11" t="n"/>
      <c r="L97" s="11">
        <f>IF(OR(K97="",K97=0),"",ROUND(I97/K97,1))</f>
        <v/>
      </c>
      <c r="M97" s="11" t="n"/>
      <c r="N97" s="11" t="n"/>
      <c r="O97" s="11" t="n"/>
      <c r="P97" s="11" t="n"/>
      <c r="Q97" s="11" t="n"/>
      <c r="R97" s="11" t="n"/>
      <c r="S97" s="11" t="n"/>
      <c r="T97" s="11">
        <f>IF(COUNT(M97:S97)&lt;7,"",ROUND(SUMPRODUCT(M97:S97,'マスタ設定'!$Q$2:$Q$8)*20,1))</f>
        <v/>
      </c>
      <c r="U97" s="11">
        <f>IF(T97="","",IF(T97&gt;='マスタ設定'!$S$5,"S：経営支援",IF(T97&gt;='マスタ設定'!$S$6,"A：重点",IF(T97&gt;='マスタ設定'!$S$7,"B：標準","C：省力化・撤退検討"))))</f>
        <v/>
      </c>
      <c r="V97" s="11">
        <f>IF(OR(L97="",K97=""),"",IF(AND(L97&lt;'マスタ設定'!$S$2,K97&gt;'マスタ設定'!$S$3),"要トリアージ",""))</f>
        <v/>
      </c>
      <c r="W97" s="11" t="n"/>
      <c r="X97" s="11" t="n"/>
      <c r="Y97" s="11" t="n"/>
      <c r="Z97" s="11">
        <f>IF(Y97="","",TODAY()-Y97)</f>
        <v/>
      </c>
      <c r="AA97" s="11">
        <f>IF(Z97="","",IF(Z97&gt;'マスタ設定'!$S$4,"停滞",""))</f>
        <v/>
      </c>
      <c r="AB97" s="11" t="n"/>
      <c r="AC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>
        <f>IF(OR(H98="",H98=0),"",I98/H98)</f>
        <v/>
      </c>
      <c r="K98" s="11" t="n"/>
      <c r="L98" s="11">
        <f>IF(OR(K98="",K98=0),"",ROUND(I98/K98,1))</f>
        <v/>
      </c>
      <c r="M98" s="11" t="n"/>
      <c r="N98" s="11" t="n"/>
      <c r="O98" s="11" t="n"/>
      <c r="P98" s="11" t="n"/>
      <c r="Q98" s="11" t="n"/>
      <c r="R98" s="11" t="n"/>
      <c r="S98" s="11" t="n"/>
      <c r="T98" s="11">
        <f>IF(COUNT(M98:S98)&lt;7,"",ROUND(SUMPRODUCT(M98:S98,'マスタ設定'!$Q$2:$Q$8)*20,1))</f>
        <v/>
      </c>
      <c r="U98" s="11">
        <f>IF(T98="","",IF(T98&gt;='マスタ設定'!$S$5,"S：経営支援",IF(T98&gt;='マスタ設定'!$S$6,"A：重点",IF(T98&gt;='マスタ設定'!$S$7,"B：標準","C：省力化・撤退検討"))))</f>
        <v/>
      </c>
      <c r="V98" s="11">
        <f>IF(OR(L98="",K98=""),"",IF(AND(L98&lt;'マスタ設定'!$S$2,K98&gt;'マスタ設定'!$S$3),"要トリアージ",""))</f>
        <v/>
      </c>
      <c r="W98" s="11" t="n"/>
      <c r="X98" s="11" t="n"/>
      <c r="Y98" s="11" t="n"/>
      <c r="Z98" s="11">
        <f>IF(Y98="","",TODAY()-Y98)</f>
        <v/>
      </c>
      <c r="AA98" s="11">
        <f>IF(Z98="","",IF(Z98&gt;'マスタ設定'!$S$4,"停滞",""))</f>
        <v/>
      </c>
      <c r="AB98" s="11" t="n"/>
      <c r="AC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>
        <f>IF(OR(H99="",H99=0),"",I99/H99)</f>
        <v/>
      </c>
      <c r="K99" s="11" t="n"/>
      <c r="L99" s="11">
        <f>IF(OR(K99="",K99=0),"",ROUND(I99/K99,1))</f>
        <v/>
      </c>
      <c r="M99" s="11" t="n"/>
      <c r="N99" s="11" t="n"/>
      <c r="O99" s="11" t="n"/>
      <c r="P99" s="11" t="n"/>
      <c r="Q99" s="11" t="n"/>
      <c r="R99" s="11" t="n"/>
      <c r="S99" s="11" t="n"/>
      <c r="T99" s="11">
        <f>IF(COUNT(M99:S99)&lt;7,"",ROUND(SUMPRODUCT(M99:S99,'マスタ設定'!$Q$2:$Q$8)*20,1))</f>
        <v/>
      </c>
      <c r="U99" s="11">
        <f>IF(T99="","",IF(T99&gt;='マスタ設定'!$S$5,"S：経営支援",IF(T99&gt;='マスタ設定'!$S$6,"A：重点",IF(T99&gt;='マスタ設定'!$S$7,"B：標準","C：省力化・撤退検討"))))</f>
        <v/>
      </c>
      <c r="V99" s="11">
        <f>IF(OR(L99="",K99=""),"",IF(AND(L99&lt;'マスタ設定'!$S$2,K99&gt;'マスタ設定'!$S$3),"要トリアージ",""))</f>
        <v/>
      </c>
      <c r="W99" s="11" t="n"/>
      <c r="X99" s="11" t="n"/>
      <c r="Y99" s="11" t="n"/>
      <c r="Z99" s="11">
        <f>IF(Y99="","",TODAY()-Y99)</f>
        <v/>
      </c>
      <c r="AA99" s="11">
        <f>IF(Z99="","",IF(Z99&gt;'マスタ設定'!$S$4,"停滞",""))</f>
        <v/>
      </c>
      <c r="AB99" s="11" t="n"/>
      <c r="AC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>
        <f>IF(OR(H100="",H100=0),"",I100/H100)</f>
        <v/>
      </c>
      <c r="K100" s="11" t="n"/>
      <c r="L100" s="11">
        <f>IF(OR(K100="",K100=0),"",ROUND(I100/K100,1))</f>
        <v/>
      </c>
      <c r="M100" s="11" t="n"/>
      <c r="N100" s="11" t="n"/>
      <c r="O100" s="11" t="n"/>
      <c r="P100" s="11" t="n"/>
      <c r="Q100" s="11" t="n"/>
      <c r="R100" s="11" t="n"/>
      <c r="S100" s="11" t="n"/>
      <c r="T100" s="11">
        <f>IF(COUNT(M100:S100)&lt;7,"",ROUND(SUMPRODUCT(M100:S100,'マスタ設定'!$Q$2:$Q$8)*20,1))</f>
        <v/>
      </c>
      <c r="U100" s="11">
        <f>IF(T100="","",IF(T100&gt;='マスタ設定'!$S$5,"S：経営支援",IF(T100&gt;='マスタ設定'!$S$6,"A：重点",IF(T100&gt;='マスタ設定'!$S$7,"B：標準","C：省力化・撤退検討"))))</f>
        <v/>
      </c>
      <c r="V100" s="11">
        <f>IF(OR(L100="",K100=""),"",IF(AND(L100&lt;'マスタ設定'!$S$2,K100&gt;'マスタ設定'!$S$3),"要トリアージ",""))</f>
        <v/>
      </c>
      <c r="W100" s="11" t="n"/>
      <c r="X100" s="11" t="n"/>
      <c r="Y100" s="11" t="n"/>
      <c r="Z100" s="11">
        <f>IF(Y100="","",TODAY()-Y100)</f>
        <v/>
      </c>
      <c r="AA100" s="11">
        <f>IF(Z100="","",IF(Z100&gt;'マスタ設定'!$S$4,"停滞",""))</f>
        <v/>
      </c>
      <c r="AB100" s="11" t="n"/>
      <c r="AC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>
        <f>IF(OR(H101="",H101=0),"",I101/H101)</f>
        <v/>
      </c>
      <c r="K101" s="11" t="n"/>
      <c r="L101" s="11">
        <f>IF(OR(K101="",K101=0),"",ROUND(I101/K101,1))</f>
        <v/>
      </c>
      <c r="M101" s="11" t="n"/>
      <c r="N101" s="11" t="n"/>
      <c r="O101" s="11" t="n"/>
      <c r="P101" s="11" t="n"/>
      <c r="Q101" s="11" t="n"/>
      <c r="R101" s="11" t="n"/>
      <c r="S101" s="11" t="n"/>
      <c r="T101" s="11">
        <f>IF(COUNT(M101:S101)&lt;7,"",ROUND(SUMPRODUCT(M101:S101,'マスタ設定'!$Q$2:$Q$8)*20,1))</f>
        <v/>
      </c>
      <c r="U101" s="11">
        <f>IF(T101="","",IF(T101&gt;='マスタ設定'!$S$5,"S：経営支援",IF(T101&gt;='マスタ設定'!$S$6,"A：重点",IF(T101&gt;='マスタ設定'!$S$7,"B：標準","C：省力化・撤退検討"))))</f>
        <v/>
      </c>
      <c r="V101" s="11">
        <f>IF(OR(L101="",K101=""),"",IF(AND(L101&lt;'マスタ設定'!$S$2,K101&gt;'マスタ設定'!$S$3),"要トリアージ",""))</f>
        <v/>
      </c>
      <c r="W101" s="11" t="n"/>
      <c r="X101" s="11" t="n"/>
      <c r="Y101" s="11" t="n"/>
      <c r="Z101" s="11">
        <f>IF(Y101="","",TODAY()-Y101)</f>
        <v/>
      </c>
      <c r="AA101" s="11">
        <f>IF(Z101="","",IF(Z101&gt;'マスタ設定'!$S$4,"停滞",""))</f>
        <v/>
      </c>
      <c r="AB101" s="11" t="n"/>
      <c r="AC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>
        <f>IF(OR(H102="",H102=0),"",I102/H102)</f>
        <v/>
      </c>
      <c r="K102" s="11" t="n"/>
      <c r="L102" s="11">
        <f>IF(OR(K102="",K102=0),"",ROUND(I102/K102,1))</f>
        <v/>
      </c>
      <c r="M102" s="11" t="n"/>
      <c r="N102" s="11" t="n"/>
      <c r="O102" s="11" t="n"/>
      <c r="P102" s="11" t="n"/>
      <c r="Q102" s="11" t="n"/>
      <c r="R102" s="11" t="n"/>
      <c r="S102" s="11" t="n"/>
      <c r="T102" s="11">
        <f>IF(COUNT(M102:S102)&lt;7,"",ROUND(SUMPRODUCT(M102:S102,'マスタ設定'!$Q$2:$Q$8)*20,1))</f>
        <v/>
      </c>
      <c r="U102" s="11">
        <f>IF(T102="","",IF(T102&gt;='マスタ設定'!$S$5,"S：経営支援",IF(T102&gt;='マスタ設定'!$S$6,"A：重点",IF(T102&gt;='マスタ設定'!$S$7,"B：標準","C：省力化・撤退検討"))))</f>
        <v/>
      </c>
      <c r="V102" s="11">
        <f>IF(OR(L102="",K102=""),"",IF(AND(L102&lt;'マスタ設定'!$S$2,K102&gt;'マスタ設定'!$S$3),"要トリアージ",""))</f>
        <v/>
      </c>
      <c r="W102" s="11" t="n"/>
      <c r="X102" s="11" t="n"/>
      <c r="Y102" s="11" t="n"/>
      <c r="Z102" s="11">
        <f>IF(Y102="","",TODAY()-Y102)</f>
        <v/>
      </c>
      <c r="AA102" s="11">
        <f>IF(Z102="","",IF(Z102&gt;'マスタ設定'!$S$4,"停滞",""))</f>
        <v/>
      </c>
      <c r="AB102" s="11" t="n"/>
      <c r="AC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>
        <f>IF(OR(H103="",H103=0),"",I103/H103)</f>
        <v/>
      </c>
      <c r="K103" s="11" t="n"/>
      <c r="L103" s="11">
        <f>IF(OR(K103="",K103=0),"",ROUND(I103/K103,1))</f>
        <v/>
      </c>
      <c r="M103" s="11" t="n"/>
      <c r="N103" s="11" t="n"/>
      <c r="O103" s="11" t="n"/>
      <c r="P103" s="11" t="n"/>
      <c r="Q103" s="11" t="n"/>
      <c r="R103" s="11" t="n"/>
      <c r="S103" s="11" t="n"/>
      <c r="T103" s="11">
        <f>IF(COUNT(M103:S103)&lt;7,"",ROUND(SUMPRODUCT(M103:S103,'マスタ設定'!$Q$2:$Q$8)*20,1))</f>
        <v/>
      </c>
      <c r="U103" s="11">
        <f>IF(T103="","",IF(T103&gt;='マスタ設定'!$S$5,"S：経営支援",IF(T103&gt;='マスタ設定'!$S$6,"A：重点",IF(T103&gt;='マスタ設定'!$S$7,"B：標準","C：省力化・撤退検討"))))</f>
        <v/>
      </c>
      <c r="V103" s="11">
        <f>IF(OR(L103="",K103=""),"",IF(AND(L103&lt;'マスタ設定'!$S$2,K103&gt;'マスタ設定'!$S$3),"要トリアージ",""))</f>
        <v/>
      </c>
      <c r="W103" s="11" t="n"/>
      <c r="X103" s="11" t="n"/>
      <c r="Y103" s="11" t="n"/>
      <c r="Z103" s="11">
        <f>IF(Y103="","",TODAY()-Y103)</f>
        <v/>
      </c>
      <c r="AA103" s="11">
        <f>IF(Z103="","",IF(Z103&gt;'マスタ設定'!$S$4,"停滞",""))</f>
        <v/>
      </c>
      <c r="AB103" s="11" t="n"/>
      <c r="AC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>
        <f>IF(OR(H104="",H104=0),"",I104/H104)</f>
        <v/>
      </c>
      <c r="K104" s="11" t="n"/>
      <c r="L104" s="11">
        <f>IF(OR(K104="",K104=0),"",ROUND(I104/K104,1))</f>
        <v/>
      </c>
      <c r="M104" s="11" t="n"/>
      <c r="N104" s="11" t="n"/>
      <c r="O104" s="11" t="n"/>
      <c r="P104" s="11" t="n"/>
      <c r="Q104" s="11" t="n"/>
      <c r="R104" s="11" t="n"/>
      <c r="S104" s="11" t="n"/>
      <c r="T104" s="11">
        <f>IF(COUNT(M104:S104)&lt;7,"",ROUND(SUMPRODUCT(M104:S104,'マスタ設定'!$Q$2:$Q$8)*20,1))</f>
        <v/>
      </c>
      <c r="U104" s="11">
        <f>IF(T104="","",IF(T104&gt;='マスタ設定'!$S$5,"S：経営支援",IF(T104&gt;='マスタ設定'!$S$6,"A：重点",IF(T104&gt;='マスタ設定'!$S$7,"B：標準","C：省力化・撤退検討"))))</f>
        <v/>
      </c>
      <c r="V104" s="11">
        <f>IF(OR(L104="",K104=""),"",IF(AND(L104&lt;'マスタ設定'!$S$2,K104&gt;'マスタ設定'!$S$3),"要トリアージ",""))</f>
        <v/>
      </c>
      <c r="W104" s="11" t="n"/>
      <c r="X104" s="11" t="n"/>
      <c r="Y104" s="11" t="n"/>
      <c r="Z104" s="11">
        <f>IF(Y104="","",TODAY()-Y104)</f>
        <v/>
      </c>
      <c r="AA104" s="11">
        <f>IF(Z104="","",IF(Z104&gt;'マスタ設定'!$S$4,"停滞",""))</f>
        <v/>
      </c>
      <c r="AB104" s="11" t="n"/>
      <c r="AC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>
        <f>IF(OR(H105="",H105=0),"",I105/H105)</f>
        <v/>
      </c>
      <c r="K105" s="11" t="n"/>
      <c r="L105" s="11">
        <f>IF(OR(K105="",K105=0),"",ROUND(I105/K105,1))</f>
        <v/>
      </c>
      <c r="M105" s="11" t="n"/>
      <c r="N105" s="11" t="n"/>
      <c r="O105" s="11" t="n"/>
      <c r="P105" s="11" t="n"/>
      <c r="Q105" s="11" t="n"/>
      <c r="R105" s="11" t="n"/>
      <c r="S105" s="11" t="n"/>
      <c r="T105" s="11">
        <f>IF(COUNT(M105:S105)&lt;7,"",ROUND(SUMPRODUCT(M105:S105,'マスタ設定'!$Q$2:$Q$8)*20,1))</f>
        <v/>
      </c>
      <c r="U105" s="11">
        <f>IF(T105="","",IF(T105&gt;='マスタ設定'!$S$5,"S：経営支援",IF(T105&gt;='マスタ設定'!$S$6,"A：重点",IF(T105&gt;='マスタ設定'!$S$7,"B：標準","C：省力化・撤退検討"))))</f>
        <v/>
      </c>
      <c r="V105" s="11">
        <f>IF(OR(L105="",K105=""),"",IF(AND(L105&lt;'マスタ設定'!$S$2,K105&gt;'マスタ設定'!$S$3),"要トリアージ",""))</f>
        <v/>
      </c>
      <c r="W105" s="11" t="n"/>
      <c r="X105" s="11" t="n"/>
      <c r="Y105" s="11" t="n"/>
      <c r="Z105" s="11">
        <f>IF(Y105="","",TODAY()-Y105)</f>
        <v/>
      </c>
      <c r="AA105" s="11">
        <f>IF(Z105="","",IF(Z105&gt;'マスタ設定'!$S$4,"停滞",""))</f>
        <v/>
      </c>
      <c r="AB105" s="11" t="n"/>
      <c r="AC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>
        <f>IF(OR(H106="",H106=0),"",I106/H106)</f>
        <v/>
      </c>
      <c r="K106" s="11" t="n"/>
      <c r="L106" s="11">
        <f>IF(OR(K106="",K106=0),"",ROUND(I106/K106,1))</f>
        <v/>
      </c>
      <c r="M106" s="11" t="n"/>
      <c r="N106" s="11" t="n"/>
      <c r="O106" s="11" t="n"/>
      <c r="P106" s="11" t="n"/>
      <c r="Q106" s="11" t="n"/>
      <c r="R106" s="11" t="n"/>
      <c r="S106" s="11" t="n"/>
      <c r="T106" s="11">
        <f>IF(COUNT(M106:S106)&lt;7,"",ROUND(SUMPRODUCT(M106:S106,'マスタ設定'!$Q$2:$Q$8)*20,1))</f>
        <v/>
      </c>
      <c r="U106" s="11">
        <f>IF(T106="","",IF(T106&gt;='マスタ設定'!$S$5,"S：経営支援",IF(T106&gt;='マスタ設定'!$S$6,"A：重点",IF(T106&gt;='マスタ設定'!$S$7,"B：標準","C：省力化・撤退検討"))))</f>
        <v/>
      </c>
      <c r="V106" s="11">
        <f>IF(OR(L106="",K106=""),"",IF(AND(L106&lt;'マスタ設定'!$S$2,K106&gt;'マスタ設定'!$S$3),"要トリアージ",""))</f>
        <v/>
      </c>
      <c r="W106" s="11" t="n"/>
      <c r="X106" s="11" t="n"/>
      <c r="Y106" s="11" t="n"/>
      <c r="Z106" s="11">
        <f>IF(Y106="","",TODAY()-Y106)</f>
        <v/>
      </c>
      <c r="AA106" s="11">
        <f>IF(Z106="","",IF(Z106&gt;'マスタ設定'!$S$4,"停滞",""))</f>
        <v/>
      </c>
      <c r="AB106" s="11" t="n"/>
      <c r="AC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>
        <f>IF(OR(H107="",H107=0),"",I107/H107)</f>
        <v/>
      </c>
      <c r="K107" s="11" t="n"/>
      <c r="L107" s="11">
        <f>IF(OR(K107="",K107=0),"",ROUND(I107/K107,1))</f>
        <v/>
      </c>
      <c r="M107" s="11" t="n"/>
      <c r="N107" s="11" t="n"/>
      <c r="O107" s="11" t="n"/>
      <c r="P107" s="11" t="n"/>
      <c r="Q107" s="11" t="n"/>
      <c r="R107" s="11" t="n"/>
      <c r="S107" s="11" t="n"/>
      <c r="T107" s="11">
        <f>IF(COUNT(M107:S107)&lt;7,"",ROUND(SUMPRODUCT(M107:S107,'マスタ設定'!$Q$2:$Q$8)*20,1))</f>
        <v/>
      </c>
      <c r="U107" s="11">
        <f>IF(T107="","",IF(T107&gt;='マスタ設定'!$S$5,"S：経営支援",IF(T107&gt;='マスタ設定'!$S$6,"A：重点",IF(T107&gt;='マスタ設定'!$S$7,"B：標準","C：省力化・撤退検討"))))</f>
        <v/>
      </c>
      <c r="V107" s="11">
        <f>IF(OR(L107="",K107=""),"",IF(AND(L107&lt;'マスタ設定'!$S$2,K107&gt;'マスタ設定'!$S$3),"要トリアージ",""))</f>
        <v/>
      </c>
      <c r="W107" s="11" t="n"/>
      <c r="X107" s="11" t="n"/>
      <c r="Y107" s="11" t="n"/>
      <c r="Z107" s="11">
        <f>IF(Y107="","",TODAY()-Y107)</f>
        <v/>
      </c>
      <c r="AA107" s="11">
        <f>IF(Z107="","",IF(Z107&gt;'マスタ設定'!$S$4,"停滞",""))</f>
        <v/>
      </c>
      <c r="AB107" s="11" t="n"/>
      <c r="AC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>
        <f>IF(OR(H108="",H108=0),"",I108/H108)</f>
        <v/>
      </c>
      <c r="K108" s="11" t="n"/>
      <c r="L108" s="11">
        <f>IF(OR(K108="",K108=0),"",ROUND(I108/K108,1))</f>
        <v/>
      </c>
      <c r="M108" s="11" t="n"/>
      <c r="N108" s="11" t="n"/>
      <c r="O108" s="11" t="n"/>
      <c r="P108" s="11" t="n"/>
      <c r="Q108" s="11" t="n"/>
      <c r="R108" s="11" t="n"/>
      <c r="S108" s="11" t="n"/>
      <c r="T108" s="11">
        <f>IF(COUNT(M108:S108)&lt;7,"",ROUND(SUMPRODUCT(M108:S108,'マスタ設定'!$Q$2:$Q$8)*20,1))</f>
        <v/>
      </c>
      <c r="U108" s="11">
        <f>IF(T108="","",IF(T108&gt;='マスタ設定'!$S$5,"S：経営支援",IF(T108&gt;='マスタ設定'!$S$6,"A：重点",IF(T108&gt;='マスタ設定'!$S$7,"B：標準","C：省力化・撤退検討"))))</f>
        <v/>
      </c>
      <c r="V108" s="11">
        <f>IF(OR(L108="",K108=""),"",IF(AND(L108&lt;'マスタ設定'!$S$2,K108&gt;'マスタ設定'!$S$3),"要トリアージ",""))</f>
        <v/>
      </c>
      <c r="W108" s="11" t="n"/>
      <c r="X108" s="11" t="n"/>
      <c r="Y108" s="11" t="n"/>
      <c r="Z108" s="11">
        <f>IF(Y108="","",TODAY()-Y108)</f>
        <v/>
      </c>
      <c r="AA108" s="11">
        <f>IF(Z108="","",IF(Z108&gt;'マスタ設定'!$S$4,"停滞",""))</f>
        <v/>
      </c>
      <c r="AB108" s="11" t="n"/>
      <c r="AC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>
        <f>IF(OR(H109="",H109=0),"",I109/H109)</f>
        <v/>
      </c>
      <c r="K109" s="11" t="n"/>
      <c r="L109" s="11">
        <f>IF(OR(K109="",K109=0),"",ROUND(I109/K109,1))</f>
        <v/>
      </c>
      <c r="M109" s="11" t="n"/>
      <c r="N109" s="11" t="n"/>
      <c r="O109" s="11" t="n"/>
      <c r="P109" s="11" t="n"/>
      <c r="Q109" s="11" t="n"/>
      <c r="R109" s="11" t="n"/>
      <c r="S109" s="11" t="n"/>
      <c r="T109" s="11">
        <f>IF(COUNT(M109:S109)&lt;7,"",ROUND(SUMPRODUCT(M109:S109,'マスタ設定'!$Q$2:$Q$8)*20,1))</f>
        <v/>
      </c>
      <c r="U109" s="11">
        <f>IF(T109="","",IF(T109&gt;='マスタ設定'!$S$5,"S：経営支援",IF(T109&gt;='マスタ設定'!$S$6,"A：重点",IF(T109&gt;='マスタ設定'!$S$7,"B：標準","C：省力化・撤退検討"))))</f>
        <v/>
      </c>
      <c r="V109" s="11">
        <f>IF(OR(L109="",K109=""),"",IF(AND(L109&lt;'マスタ設定'!$S$2,K109&gt;'マスタ設定'!$S$3),"要トリアージ",""))</f>
        <v/>
      </c>
      <c r="W109" s="11" t="n"/>
      <c r="X109" s="11" t="n"/>
      <c r="Y109" s="11" t="n"/>
      <c r="Z109" s="11">
        <f>IF(Y109="","",TODAY()-Y109)</f>
        <v/>
      </c>
      <c r="AA109" s="11">
        <f>IF(Z109="","",IF(Z109&gt;'マスタ設定'!$S$4,"停滞",""))</f>
        <v/>
      </c>
      <c r="AB109" s="11" t="n"/>
      <c r="AC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>
        <f>IF(OR(H110="",H110=0),"",I110/H110)</f>
        <v/>
      </c>
      <c r="K110" s="11" t="n"/>
      <c r="L110" s="11">
        <f>IF(OR(K110="",K110=0),"",ROUND(I110/K110,1))</f>
        <v/>
      </c>
      <c r="M110" s="11" t="n"/>
      <c r="N110" s="11" t="n"/>
      <c r="O110" s="11" t="n"/>
      <c r="P110" s="11" t="n"/>
      <c r="Q110" s="11" t="n"/>
      <c r="R110" s="11" t="n"/>
      <c r="S110" s="11" t="n"/>
      <c r="T110" s="11">
        <f>IF(COUNT(M110:S110)&lt;7,"",ROUND(SUMPRODUCT(M110:S110,'マスタ設定'!$Q$2:$Q$8)*20,1))</f>
        <v/>
      </c>
      <c r="U110" s="11">
        <f>IF(T110="","",IF(T110&gt;='マスタ設定'!$S$5,"S：経営支援",IF(T110&gt;='マスタ設定'!$S$6,"A：重点",IF(T110&gt;='マスタ設定'!$S$7,"B：標準","C：省力化・撤退検討"))))</f>
        <v/>
      </c>
      <c r="V110" s="11">
        <f>IF(OR(L110="",K110=""),"",IF(AND(L110&lt;'マスタ設定'!$S$2,K110&gt;'マスタ設定'!$S$3),"要トリアージ",""))</f>
        <v/>
      </c>
      <c r="W110" s="11" t="n"/>
      <c r="X110" s="11" t="n"/>
      <c r="Y110" s="11" t="n"/>
      <c r="Z110" s="11">
        <f>IF(Y110="","",TODAY()-Y110)</f>
        <v/>
      </c>
      <c r="AA110" s="11">
        <f>IF(Z110="","",IF(Z110&gt;'マスタ設定'!$S$4,"停滞",""))</f>
        <v/>
      </c>
      <c r="AB110" s="11" t="n"/>
      <c r="AC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>
        <f>IF(OR(H111="",H111=0),"",I111/H111)</f>
        <v/>
      </c>
      <c r="K111" s="11" t="n"/>
      <c r="L111" s="11">
        <f>IF(OR(K111="",K111=0),"",ROUND(I111/K111,1))</f>
        <v/>
      </c>
      <c r="M111" s="11" t="n"/>
      <c r="N111" s="11" t="n"/>
      <c r="O111" s="11" t="n"/>
      <c r="P111" s="11" t="n"/>
      <c r="Q111" s="11" t="n"/>
      <c r="R111" s="11" t="n"/>
      <c r="S111" s="11" t="n"/>
      <c r="T111" s="11">
        <f>IF(COUNT(M111:S111)&lt;7,"",ROUND(SUMPRODUCT(M111:S111,'マスタ設定'!$Q$2:$Q$8)*20,1))</f>
        <v/>
      </c>
      <c r="U111" s="11">
        <f>IF(T111="","",IF(T111&gt;='マスタ設定'!$S$5,"S：経営支援",IF(T111&gt;='マスタ設定'!$S$6,"A：重点",IF(T111&gt;='マスタ設定'!$S$7,"B：標準","C：省力化・撤退検討"))))</f>
        <v/>
      </c>
      <c r="V111" s="11">
        <f>IF(OR(L111="",K111=""),"",IF(AND(L111&lt;'マスタ設定'!$S$2,K111&gt;'マスタ設定'!$S$3),"要トリアージ",""))</f>
        <v/>
      </c>
      <c r="W111" s="11" t="n"/>
      <c r="X111" s="11" t="n"/>
      <c r="Y111" s="11" t="n"/>
      <c r="Z111" s="11">
        <f>IF(Y111="","",TODAY()-Y111)</f>
        <v/>
      </c>
      <c r="AA111" s="11">
        <f>IF(Z111="","",IF(Z111&gt;'マスタ設定'!$S$4,"停滞",""))</f>
        <v/>
      </c>
      <c r="AB111" s="11" t="n"/>
      <c r="AC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>
        <f>IF(OR(H112="",H112=0),"",I112/H112)</f>
        <v/>
      </c>
      <c r="K112" s="11" t="n"/>
      <c r="L112" s="11">
        <f>IF(OR(K112="",K112=0),"",ROUND(I112/K112,1))</f>
        <v/>
      </c>
      <c r="M112" s="11" t="n"/>
      <c r="N112" s="11" t="n"/>
      <c r="O112" s="11" t="n"/>
      <c r="P112" s="11" t="n"/>
      <c r="Q112" s="11" t="n"/>
      <c r="R112" s="11" t="n"/>
      <c r="S112" s="11" t="n"/>
      <c r="T112" s="11">
        <f>IF(COUNT(M112:S112)&lt;7,"",ROUND(SUMPRODUCT(M112:S112,'マスタ設定'!$Q$2:$Q$8)*20,1))</f>
        <v/>
      </c>
      <c r="U112" s="11">
        <f>IF(T112="","",IF(T112&gt;='マスタ設定'!$S$5,"S：経営支援",IF(T112&gt;='マスタ設定'!$S$6,"A：重点",IF(T112&gt;='マスタ設定'!$S$7,"B：標準","C：省力化・撤退検討"))))</f>
        <v/>
      </c>
      <c r="V112" s="11">
        <f>IF(OR(L112="",K112=""),"",IF(AND(L112&lt;'マスタ設定'!$S$2,K112&gt;'マスタ設定'!$S$3),"要トリアージ",""))</f>
        <v/>
      </c>
      <c r="W112" s="11" t="n"/>
      <c r="X112" s="11" t="n"/>
      <c r="Y112" s="11" t="n"/>
      <c r="Z112" s="11">
        <f>IF(Y112="","",TODAY()-Y112)</f>
        <v/>
      </c>
      <c r="AA112" s="11">
        <f>IF(Z112="","",IF(Z112&gt;'マスタ設定'!$S$4,"停滞",""))</f>
        <v/>
      </c>
      <c r="AB112" s="11" t="n"/>
      <c r="AC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>
        <f>IF(OR(H113="",H113=0),"",I113/H113)</f>
        <v/>
      </c>
      <c r="K113" s="11" t="n"/>
      <c r="L113" s="11">
        <f>IF(OR(K113="",K113=0),"",ROUND(I113/K113,1))</f>
        <v/>
      </c>
      <c r="M113" s="11" t="n"/>
      <c r="N113" s="11" t="n"/>
      <c r="O113" s="11" t="n"/>
      <c r="P113" s="11" t="n"/>
      <c r="Q113" s="11" t="n"/>
      <c r="R113" s="11" t="n"/>
      <c r="S113" s="11" t="n"/>
      <c r="T113" s="11">
        <f>IF(COUNT(M113:S113)&lt;7,"",ROUND(SUMPRODUCT(M113:S113,'マスタ設定'!$Q$2:$Q$8)*20,1))</f>
        <v/>
      </c>
      <c r="U113" s="11">
        <f>IF(T113="","",IF(T113&gt;='マスタ設定'!$S$5,"S：経営支援",IF(T113&gt;='マスタ設定'!$S$6,"A：重点",IF(T113&gt;='マスタ設定'!$S$7,"B：標準","C：省力化・撤退検討"))))</f>
        <v/>
      </c>
      <c r="V113" s="11">
        <f>IF(OR(L113="",K113=""),"",IF(AND(L113&lt;'マスタ設定'!$S$2,K113&gt;'マスタ設定'!$S$3),"要トリアージ",""))</f>
        <v/>
      </c>
      <c r="W113" s="11" t="n"/>
      <c r="X113" s="11" t="n"/>
      <c r="Y113" s="11" t="n"/>
      <c r="Z113" s="11">
        <f>IF(Y113="","",TODAY()-Y113)</f>
        <v/>
      </c>
      <c r="AA113" s="11">
        <f>IF(Z113="","",IF(Z113&gt;'マスタ設定'!$S$4,"停滞",""))</f>
        <v/>
      </c>
      <c r="AB113" s="11" t="n"/>
      <c r="AC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>
        <f>IF(OR(H114="",H114=0),"",I114/H114)</f>
        <v/>
      </c>
      <c r="K114" s="11" t="n"/>
      <c r="L114" s="11">
        <f>IF(OR(K114="",K114=0),"",ROUND(I114/K114,1))</f>
        <v/>
      </c>
      <c r="M114" s="11" t="n"/>
      <c r="N114" s="11" t="n"/>
      <c r="O114" s="11" t="n"/>
      <c r="P114" s="11" t="n"/>
      <c r="Q114" s="11" t="n"/>
      <c r="R114" s="11" t="n"/>
      <c r="S114" s="11" t="n"/>
      <c r="T114" s="11">
        <f>IF(COUNT(M114:S114)&lt;7,"",ROUND(SUMPRODUCT(M114:S114,'マスタ設定'!$Q$2:$Q$8)*20,1))</f>
        <v/>
      </c>
      <c r="U114" s="11">
        <f>IF(T114="","",IF(T114&gt;='マスタ設定'!$S$5,"S：経営支援",IF(T114&gt;='マスタ設定'!$S$6,"A：重点",IF(T114&gt;='マスタ設定'!$S$7,"B：標準","C：省力化・撤退検討"))))</f>
        <v/>
      </c>
      <c r="V114" s="11">
        <f>IF(OR(L114="",K114=""),"",IF(AND(L114&lt;'マスタ設定'!$S$2,K114&gt;'マスタ設定'!$S$3),"要トリアージ",""))</f>
        <v/>
      </c>
      <c r="W114" s="11" t="n"/>
      <c r="X114" s="11" t="n"/>
      <c r="Y114" s="11" t="n"/>
      <c r="Z114" s="11">
        <f>IF(Y114="","",TODAY()-Y114)</f>
        <v/>
      </c>
      <c r="AA114" s="11">
        <f>IF(Z114="","",IF(Z114&gt;'マスタ設定'!$S$4,"停滞",""))</f>
        <v/>
      </c>
      <c r="AB114" s="11" t="n"/>
      <c r="AC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>
        <f>IF(OR(H115="",H115=0),"",I115/H115)</f>
        <v/>
      </c>
      <c r="K115" s="11" t="n"/>
      <c r="L115" s="11">
        <f>IF(OR(K115="",K115=0),"",ROUND(I115/K115,1))</f>
        <v/>
      </c>
      <c r="M115" s="11" t="n"/>
      <c r="N115" s="11" t="n"/>
      <c r="O115" s="11" t="n"/>
      <c r="P115" s="11" t="n"/>
      <c r="Q115" s="11" t="n"/>
      <c r="R115" s="11" t="n"/>
      <c r="S115" s="11" t="n"/>
      <c r="T115" s="11">
        <f>IF(COUNT(M115:S115)&lt;7,"",ROUND(SUMPRODUCT(M115:S115,'マスタ設定'!$Q$2:$Q$8)*20,1))</f>
        <v/>
      </c>
      <c r="U115" s="11">
        <f>IF(T115="","",IF(T115&gt;='マスタ設定'!$S$5,"S：経営支援",IF(T115&gt;='マスタ設定'!$S$6,"A：重点",IF(T115&gt;='マスタ設定'!$S$7,"B：標準","C：省力化・撤退検討"))))</f>
        <v/>
      </c>
      <c r="V115" s="11">
        <f>IF(OR(L115="",K115=""),"",IF(AND(L115&lt;'マスタ設定'!$S$2,K115&gt;'マスタ設定'!$S$3),"要トリアージ",""))</f>
        <v/>
      </c>
      <c r="W115" s="11" t="n"/>
      <c r="X115" s="11" t="n"/>
      <c r="Y115" s="11" t="n"/>
      <c r="Z115" s="11">
        <f>IF(Y115="","",TODAY()-Y115)</f>
        <v/>
      </c>
      <c r="AA115" s="11">
        <f>IF(Z115="","",IF(Z115&gt;'マスタ設定'!$S$4,"停滞",""))</f>
        <v/>
      </c>
      <c r="AB115" s="11" t="n"/>
      <c r="AC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>
        <f>IF(OR(H116="",H116=0),"",I116/H116)</f>
        <v/>
      </c>
      <c r="K116" s="11" t="n"/>
      <c r="L116" s="11">
        <f>IF(OR(K116="",K116=0),"",ROUND(I116/K116,1))</f>
        <v/>
      </c>
      <c r="M116" s="11" t="n"/>
      <c r="N116" s="11" t="n"/>
      <c r="O116" s="11" t="n"/>
      <c r="P116" s="11" t="n"/>
      <c r="Q116" s="11" t="n"/>
      <c r="R116" s="11" t="n"/>
      <c r="S116" s="11" t="n"/>
      <c r="T116" s="11">
        <f>IF(COUNT(M116:S116)&lt;7,"",ROUND(SUMPRODUCT(M116:S116,'マスタ設定'!$Q$2:$Q$8)*20,1))</f>
        <v/>
      </c>
      <c r="U116" s="11">
        <f>IF(T116="","",IF(T116&gt;='マスタ設定'!$S$5,"S：経営支援",IF(T116&gt;='マスタ設定'!$S$6,"A：重点",IF(T116&gt;='マスタ設定'!$S$7,"B：標準","C：省力化・撤退検討"))))</f>
        <v/>
      </c>
      <c r="V116" s="11">
        <f>IF(OR(L116="",K116=""),"",IF(AND(L116&lt;'マスタ設定'!$S$2,K116&gt;'マスタ設定'!$S$3),"要トリアージ",""))</f>
        <v/>
      </c>
      <c r="W116" s="11" t="n"/>
      <c r="X116" s="11" t="n"/>
      <c r="Y116" s="11" t="n"/>
      <c r="Z116" s="11">
        <f>IF(Y116="","",TODAY()-Y116)</f>
        <v/>
      </c>
      <c r="AA116" s="11">
        <f>IF(Z116="","",IF(Z116&gt;'マスタ設定'!$S$4,"停滞",""))</f>
        <v/>
      </c>
      <c r="AB116" s="11" t="n"/>
      <c r="AC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>
        <f>IF(OR(H117="",H117=0),"",I117/H117)</f>
        <v/>
      </c>
      <c r="K117" s="11" t="n"/>
      <c r="L117" s="11">
        <f>IF(OR(K117="",K117=0),"",ROUND(I117/K117,1))</f>
        <v/>
      </c>
      <c r="M117" s="11" t="n"/>
      <c r="N117" s="11" t="n"/>
      <c r="O117" s="11" t="n"/>
      <c r="P117" s="11" t="n"/>
      <c r="Q117" s="11" t="n"/>
      <c r="R117" s="11" t="n"/>
      <c r="S117" s="11" t="n"/>
      <c r="T117" s="11">
        <f>IF(COUNT(M117:S117)&lt;7,"",ROUND(SUMPRODUCT(M117:S117,'マスタ設定'!$Q$2:$Q$8)*20,1))</f>
        <v/>
      </c>
      <c r="U117" s="11">
        <f>IF(T117="","",IF(T117&gt;='マスタ設定'!$S$5,"S：経営支援",IF(T117&gt;='マスタ設定'!$S$6,"A：重点",IF(T117&gt;='マスタ設定'!$S$7,"B：標準","C：省力化・撤退検討"))))</f>
        <v/>
      </c>
      <c r="V117" s="11">
        <f>IF(OR(L117="",K117=""),"",IF(AND(L117&lt;'マスタ設定'!$S$2,K117&gt;'マスタ設定'!$S$3),"要トリアージ",""))</f>
        <v/>
      </c>
      <c r="W117" s="11" t="n"/>
      <c r="X117" s="11" t="n"/>
      <c r="Y117" s="11" t="n"/>
      <c r="Z117" s="11">
        <f>IF(Y117="","",TODAY()-Y117)</f>
        <v/>
      </c>
      <c r="AA117" s="11">
        <f>IF(Z117="","",IF(Z117&gt;'マスタ設定'!$S$4,"停滞",""))</f>
        <v/>
      </c>
      <c r="AB117" s="11" t="n"/>
      <c r="AC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>
        <f>IF(OR(H118="",H118=0),"",I118/H118)</f>
        <v/>
      </c>
      <c r="K118" s="11" t="n"/>
      <c r="L118" s="11">
        <f>IF(OR(K118="",K118=0),"",ROUND(I118/K118,1))</f>
        <v/>
      </c>
      <c r="M118" s="11" t="n"/>
      <c r="N118" s="11" t="n"/>
      <c r="O118" s="11" t="n"/>
      <c r="P118" s="11" t="n"/>
      <c r="Q118" s="11" t="n"/>
      <c r="R118" s="11" t="n"/>
      <c r="S118" s="11" t="n"/>
      <c r="T118" s="11">
        <f>IF(COUNT(M118:S118)&lt;7,"",ROUND(SUMPRODUCT(M118:S118,'マスタ設定'!$Q$2:$Q$8)*20,1))</f>
        <v/>
      </c>
      <c r="U118" s="11">
        <f>IF(T118="","",IF(T118&gt;='マスタ設定'!$S$5,"S：経営支援",IF(T118&gt;='マスタ設定'!$S$6,"A：重点",IF(T118&gt;='マスタ設定'!$S$7,"B：標準","C：省力化・撤退検討"))))</f>
        <v/>
      </c>
      <c r="V118" s="11">
        <f>IF(OR(L118="",K118=""),"",IF(AND(L118&lt;'マスタ設定'!$S$2,K118&gt;'マスタ設定'!$S$3),"要トリアージ",""))</f>
        <v/>
      </c>
      <c r="W118" s="11" t="n"/>
      <c r="X118" s="11" t="n"/>
      <c r="Y118" s="11" t="n"/>
      <c r="Z118" s="11">
        <f>IF(Y118="","",TODAY()-Y118)</f>
        <v/>
      </c>
      <c r="AA118" s="11">
        <f>IF(Z118="","",IF(Z118&gt;'マスタ設定'!$S$4,"停滞",""))</f>
        <v/>
      </c>
      <c r="AB118" s="11" t="n"/>
      <c r="AC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>
        <f>IF(OR(H119="",H119=0),"",I119/H119)</f>
        <v/>
      </c>
      <c r="K119" s="11" t="n"/>
      <c r="L119" s="11">
        <f>IF(OR(K119="",K119=0),"",ROUND(I119/K119,1))</f>
        <v/>
      </c>
      <c r="M119" s="11" t="n"/>
      <c r="N119" s="11" t="n"/>
      <c r="O119" s="11" t="n"/>
      <c r="P119" s="11" t="n"/>
      <c r="Q119" s="11" t="n"/>
      <c r="R119" s="11" t="n"/>
      <c r="S119" s="11" t="n"/>
      <c r="T119" s="11">
        <f>IF(COUNT(M119:S119)&lt;7,"",ROUND(SUMPRODUCT(M119:S119,'マスタ設定'!$Q$2:$Q$8)*20,1))</f>
        <v/>
      </c>
      <c r="U119" s="11">
        <f>IF(T119="","",IF(T119&gt;='マスタ設定'!$S$5,"S：経営支援",IF(T119&gt;='マスタ設定'!$S$6,"A：重点",IF(T119&gt;='マスタ設定'!$S$7,"B：標準","C：省力化・撤退検討"))))</f>
        <v/>
      </c>
      <c r="V119" s="11">
        <f>IF(OR(L119="",K119=""),"",IF(AND(L119&lt;'マスタ設定'!$S$2,K119&gt;'マスタ設定'!$S$3),"要トリアージ",""))</f>
        <v/>
      </c>
      <c r="W119" s="11" t="n"/>
      <c r="X119" s="11" t="n"/>
      <c r="Y119" s="11" t="n"/>
      <c r="Z119" s="11">
        <f>IF(Y119="","",TODAY()-Y119)</f>
        <v/>
      </c>
      <c r="AA119" s="11">
        <f>IF(Z119="","",IF(Z119&gt;'マスタ設定'!$S$4,"停滞",""))</f>
        <v/>
      </c>
      <c r="AB119" s="11" t="n"/>
      <c r="AC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>
        <f>IF(OR(H120="",H120=0),"",I120/H120)</f>
        <v/>
      </c>
      <c r="K120" s="11" t="n"/>
      <c r="L120" s="11">
        <f>IF(OR(K120="",K120=0),"",ROUND(I120/K120,1))</f>
        <v/>
      </c>
      <c r="M120" s="11" t="n"/>
      <c r="N120" s="11" t="n"/>
      <c r="O120" s="11" t="n"/>
      <c r="P120" s="11" t="n"/>
      <c r="Q120" s="11" t="n"/>
      <c r="R120" s="11" t="n"/>
      <c r="S120" s="11" t="n"/>
      <c r="T120" s="11">
        <f>IF(COUNT(M120:S120)&lt;7,"",ROUND(SUMPRODUCT(M120:S120,'マスタ設定'!$Q$2:$Q$8)*20,1))</f>
        <v/>
      </c>
      <c r="U120" s="11">
        <f>IF(T120="","",IF(T120&gt;='マスタ設定'!$S$5,"S：経営支援",IF(T120&gt;='マスタ設定'!$S$6,"A：重点",IF(T120&gt;='マスタ設定'!$S$7,"B：標準","C：省力化・撤退検討"))))</f>
        <v/>
      </c>
      <c r="V120" s="11">
        <f>IF(OR(L120="",K120=""),"",IF(AND(L120&lt;'マスタ設定'!$S$2,K120&gt;'マスタ設定'!$S$3),"要トリアージ",""))</f>
        <v/>
      </c>
      <c r="W120" s="11" t="n"/>
      <c r="X120" s="11" t="n"/>
      <c r="Y120" s="11" t="n"/>
      <c r="Z120" s="11">
        <f>IF(Y120="","",TODAY()-Y120)</f>
        <v/>
      </c>
      <c r="AA120" s="11">
        <f>IF(Z120="","",IF(Z120&gt;'マスタ設定'!$S$4,"停滞",""))</f>
        <v/>
      </c>
      <c r="AB120" s="11" t="n"/>
      <c r="AC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>
        <f>IF(OR(H121="",H121=0),"",I121/H121)</f>
        <v/>
      </c>
      <c r="K121" s="11" t="n"/>
      <c r="L121" s="11">
        <f>IF(OR(K121="",K121=0),"",ROUND(I121/K121,1))</f>
        <v/>
      </c>
      <c r="M121" s="11" t="n"/>
      <c r="N121" s="11" t="n"/>
      <c r="O121" s="11" t="n"/>
      <c r="P121" s="11" t="n"/>
      <c r="Q121" s="11" t="n"/>
      <c r="R121" s="11" t="n"/>
      <c r="S121" s="11" t="n"/>
      <c r="T121" s="11">
        <f>IF(COUNT(M121:S121)&lt;7,"",ROUND(SUMPRODUCT(M121:S121,'マスタ設定'!$Q$2:$Q$8)*20,1))</f>
        <v/>
      </c>
      <c r="U121" s="11">
        <f>IF(T121="","",IF(T121&gt;='マスタ設定'!$S$5,"S：経営支援",IF(T121&gt;='マスタ設定'!$S$6,"A：重点",IF(T121&gt;='マスタ設定'!$S$7,"B：標準","C：省力化・撤退検討"))))</f>
        <v/>
      </c>
      <c r="V121" s="11">
        <f>IF(OR(L121="",K121=""),"",IF(AND(L121&lt;'マスタ設定'!$S$2,K121&gt;'マスタ設定'!$S$3),"要トリアージ",""))</f>
        <v/>
      </c>
      <c r="W121" s="11" t="n"/>
      <c r="X121" s="11" t="n"/>
      <c r="Y121" s="11" t="n"/>
      <c r="Z121" s="11">
        <f>IF(Y121="","",TODAY()-Y121)</f>
        <v/>
      </c>
      <c r="AA121" s="11">
        <f>IF(Z121="","",IF(Z121&gt;'マスタ設定'!$S$4,"停滞",""))</f>
        <v/>
      </c>
      <c r="AB121" s="11" t="n"/>
      <c r="AC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>
        <f>IF(OR(H122="",H122=0),"",I122/H122)</f>
        <v/>
      </c>
      <c r="K122" s="11" t="n"/>
      <c r="L122" s="11">
        <f>IF(OR(K122="",K122=0),"",ROUND(I122/K122,1))</f>
        <v/>
      </c>
      <c r="M122" s="11" t="n"/>
      <c r="N122" s="11" t="n"/>
      <c r="O122" s="11" t="n"/>
      <c r="P122" s="11" t="n"/>
      <c r="Q122" s="11" t="n"/>
      <c r="R122" s="11" t="n"/>
      <c r="S122" s="11" t="n"/>
      <c r="T122" s="11">
        <f>IF(COUNT(M122:S122)&lt;7,"",ROUND(SUMPRODUCT(M122:S122,'マスタ設定'!$Q$2:$Q$8)*20,1))</f>
        <v/>
      </c>
      <c r="U122" s="11">
        <f>IF(T122="","",IF(T122&gt;='マスタ設定'!$S$5,"S：経営支援",IF(T122&gt;='マスタ設定'!$S$6,"A：重点",IF(T122&gt;='マスタ設定'!$S$7,"B：標準","C：省力化・撤退検討"))))</f>
        <v/>
      </c>
      <c r="V122" s="11">
        <f>IF(OR(L122="",K122=""),"",IF(AND(L122&lt;'マスタ設定'!$S$2,K122&gt;'マスタ設定'!$S$3),"要トリアージ",""))</f>
        <v/>
      </c>
      <c r="W122" s="11" t="n"/>
      <c r="X122" s="11" t="n"/>
      <c r="Y122" s="11" t="n"/>
      <c r="Z122" s="11">
        <f>IF(Y122="","",TODAY()-Y122)</f>
        <v/>
      </c>
      <c r="AA122" s="11">
        <f>IF(Z122="","",IF(Z122&gt;'マスタ設定'!$S$4,"停滞",""))</f>
        <v/>
      </c>
      <c r="AB122" s="11" t="n"/>
      <c r="AC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>
        <f>IF(OR(H123="",H123=0),"",I123/H123)</f>
        <v/>
      </c>
      <c r="K123" s="11" t="n"/>
      <c r="L123" s="11">
        <f>IF(OR(K123="",K123=0),"",ROUND(I123/K123,1))</f>
        <v/>
      </c>
      <c r="M123" s="11" t="n"/>
      <c r="N123" s="11" t="n"/>
      <c r="O123" s="11" t="n"/>
      <c r="P123" s="11" t="n"/>
      <c r="Q123" s="11" t="n"/>
      <c r="R123" s="11" t="n"/>
      <c r="S123" s="11" t="n"/>
      <c r="T123" s="11">
        <f>IF(COUNT(M123:S123)&lt;7,"",ROUND(SUMPRODUCT(M123:S123,'マスタ設定'!$Q$2:$Q$8)*20,1))</f>
        <v/>
      </c>
      <c r="U123" s="11">
        <f>IF(T123="","",IF(T123&gt;='マスタ設定'!$S$5,"S：経営支援",IF(T123&gt;='マスタ設定'!$S$6,"A：重点",IF(T123&gt;='マスタ設定'!$S$7,"B：標準","C：省力化・撤退検討"))))</f>
        <v/>
      </c>
      <c r="V123" s="11">
        <f>IF(OR(L123="",K123=""),"",IF(AND(L123&lt;'マスタ設定'!$S$2,K123&gt;'マスタ設定'!$S$3),"要トリアージ",""))</f>
        <v/>
      </c>
      <c r="W123" s="11" t="n"/>
      <c r="X123" s="11" t="n"/>
      <c r="Y123" s="11" t="n"/>
      <c r="Z123" s="11">
        <f>IF(Y123="","",TODAY()-Y123)</f>
        <v/>
      </c>
      <c r="AA123" s="11">
        <f>IF(Z123="","",IF(Z123&gt;'マスタ設定'!$S$4,"停滞",""))</f>
        <v/>
      </c>
      <c r="AB123" s="11" t="n"/>
      <c r="AC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>
        <f>IF(OR(H124="",H124=0),"",I124/H124)</f>
        <v/>
      </c>
      <c r="K124" s="11" t="n"/>
      <c r="L124" s="11">
        <f>IF(OR(K124="",K124=0),"",ROUND(I124/K124,1))</f>
        <v/>
      </c>
      <c r="M124" s="11" t="n"/>
      <c r="N124" s="11" t="n"/>
      <c r="O124" s="11" t="n"/>
      <c r="P124" s="11" t="n"/>
      <c r="Q124" s="11" t="n"/>
      <c r="R124" s="11" t="n"/>
      <c r="S124" s="11" t="n"/>
      <c r="T124" s="11">
        <f>IF(COUNT(M124:S124)&lt;7,"",ROUND(SUMPRODUCT(M124:S124,'マスタ設定'!$Q$2:$Q$8)*20,1))</f>
        <v/>
      </c>
      <c r="U124" s="11">
        <f>IF(T124="","",IF(T124&gt;='マスタ設定'!$S$5,"S：経営支援",IF(T124&gt;='マスタ設定'!$S$6,"A：重点",IF(T124&gt;='マスタ設定'!$S$7,"B：標準","C：省力化・撤退検討"))))</f>
        <v/>
      </c>
      <c r="V124" s="11">
        <f>IF(OR(L124="",K124=""),"",IF(AND(L124&lt;'マスタ設定'!$S$2,K124&gt;'マスタ設定'!$S$3),"要トリアージ",""))</f>
        <v/>
      </c>
      <c r="W124" s="11" t="n"/>
      <c r="X124" s="11" t="n"/>
      <c r="Y124" s="11" t="n"/>
      <c r="Z124" s="11">
        <f>IF(Y124="","",TODAY()-Y124)</f>
        <v/>
      </c>
      <c r="AA124" s="11">
        <f>IF(Z124="","",IF(Z124&gt;'マスタ設定'!$S$4,"停滞",""))</f>
        <v/>
      </c>
      <c r="AB124" s="11" t="n"/>
      <c r="AC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>
        <f>IF(OR(H125="",H125=0),"",I125/H125)</f>
        <v/>
      </c>
      <c r="K125" s="11" t="n"/>
      <c r="L125" s="11">
        <f>IF(OR(K125="",K125=0),"",ROUND(I125/K125,1))</f>
        <v/>
      </c>
      <c r="M125" s="11" t="n"/>
      <c r="N125" s="11" t="n"/>
      <c r="O125" s="11" t="n"/>
      <c r="P125" s="11" t="n"/>
      <c r="Q125" s="11" t="n"/>
      <c r="R125" s="11" t="n"/>
      <c r="S125" s="11" t="n"/>
      <c r="T125" s="11">
        <f>IF(COUNT(M125:S125)&lt;7,"",ROUND(SUMPRODUCT(M125:S125,'マスタ設定'!$Q$2:$Q$8)*20,1))</f>
        <v/>
      </c>
      <c r="U125" s="11">
        <f>IF(T125="","",IF(T125&gt;='マスタ設定'!$S$5,"S：経営支援",IF(T125&gt;='マスタ設定'!$S$6,"A：重点",IF(T125&gt;='マスタ設定'!$S$7,"B：標準","C：省力化・撤退検討"))))</f>
        <v/>
      </c>
      <c r="V125" s="11">
        <f>IF(OR(L125="",K125=""),"",IF(AND(L125&lt;'マスタ設定'!$S$2,K125&gt;'マスタ設定'!$S$3),"要トリアージ",""))</f>
        <v/>
      </c>
      <c r="W125" s="11" t="n"/>
      <c r="X125" s="11" t="n"/>
      <c r="Y125" s="11" t="n"/>
      <c r="Z125" s="11">
        <f>IF(Y125="","",TODAY()-Y125)</f>
        <v/>
      </c>
      <c r="AA125" s="11">
        <f>IF(Z125="","",IF(Z125&gt;'マスタ設定'!$S$4,"停滞",""))</f>
        <v/>
      </c>
      <c r="AB125" s="11" t="n"/>
      <c r="AC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>
        <f>IF(OR(H126="",H126=0),"",I126/H126)</f>
        <v/>
      </c>
      <c r="K126" s="11" t="n"/>
      <c r="L126" s="11">
        <f>IF(OR(K126="",K126=0),"",ROUND(I126/K126,1))</f>
        <v/>
      </c>
      <c r="M126" s="11" t="n"/>
      <c r="N126" s="11" t="n"/>
      <c r="O126" s="11" t="n"/>
      <c r="P126" s="11" t="n"/>
      <c r="Q126" s="11" t="n"/>
      <c r="R126" s="11" t="n"/>
      <c r="S126" s="11" t="n"/>
      <c r="T126" s="11">
        <f>IF(COUNT(M126:S126)&lt;7,"",ROUND(SUMPRODUCT(M126:S126,'マスタ設定'!$Q$2:$Q$8)*20,1))</f>
        <v/>
      </c>
      <c r="U126" s="11">
        <f>IF(T126="","",IF(T126&gt;='マスタ設定'!$S$5,"S：経営支援",IF(T126&gt;='マスタ設定'!$S$6,"A：重点",IF(T126&gt;='マスタ設定'!$S$7,"B：標準","C：省力化・撤退検討"))))</f>
        <v/>
      </c>
      <c r="V126" s="11">
        <f>IF(OR(L126="",K126=""),"",IF(AND(L126&lt;'マスタ設定'!$S$2,K126&gt;'マスタ設定'!$S$3),"要トリアージ",""))</f>
        <v/>
      </c>
      <c r="W126" s="11" t="n"/>
      <c r="X126" s="11" t="n"/>
      <c r="Y126" s="11" t="n"/>
      <c r="Z126" s="11">
        <f>IF(Y126="","",TODAY()-Y126)</f>
        <v/>
      </c>
      <c r="AA126" s="11">
        <f>IF(Z126="","",IF(Z126&gt;'マスタ設定'!$S$4,"停滞",""))</f>
        <v/>
      </c>
      <c r="AB126" s="11" t="n"/>
      <c r="AC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>
        <f>IF(OR(H127="",H127=0),"",I127/H127)</f>
        <v/>
      </c>
      <c r="K127" s="11" t="n"/>
      <c r="L127" s="11">
        <f>IF(OR(K127="",K127=0),"",ROUND(I127/K127,1))</f>
        <v/>
      </c>
      <c r="M127" s="11" t="n"/>
      <c r="N127" s="11" t="n"/>
      <c r="O127" s="11" t="n"/>
      <c r="P127" s="11" t="n"/>
      <c r="Q127" s="11" t="n"/>
      <c r="R127" s="11" t="n"/>
      <c r="S127" s="11" t="n"/>
      <c r="T127" s="11">
        <f>IF(COUNT(M127:S127)&lt;7,"",ROUND(SUMPRODUCT(M127:S127,'マスタ設定'!$Q$2:$Q$8)*20,1))</f>
        <v/>
      </c>
      <c r="U127" s="11">
        <f>IF(T127="","",IF(T127&gt;='マスタ設定'!$S$5,"S：経営支援",IF(T127&gt;='マスタ設定'!$S$6,"A：重点",IF(T127&gt;='マスタ設定'!$S$7,"B：標準","C：省力化・撤退検討"))))</f>
        <v/>
      </c>
      <c r="V127" s="11">
        <f>IF(OR(L127="",K127=""),"",IF(AND(L127&lt;'マスタ設定'!$S$2,K127&gt;'マスタ設定'!$S$3),"要トリアージ",""))</f>
        <v/>
      </c>
      <c r="W127" s="11" t="n"/>
      <c r="X127" s="11" t="n"/>
      <c r="Y127" s="11" t="n"/>
      <c r="Z127" s="11">
        <f>IF(Y127="","",TODAY()-Y127)</f>
        <v/>
      </c>
      <c r="AA127" s="11">
        <f>IF(Z127="","",IF(Z127&gt;'マスタ設定'!$S$4,"停滞",""))</f>
        <v/>
      </c>
      <c r="AB127" s="11" t="n"/>
      <c r="AC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>
        <f>IF(OR(H128="",H128=0),"",I128/H128)</f>
        <v/>
      </c>
      <c r="K128" s="11" t="n"/>
      <c r="L128" s="11">
        <f>IF(OR(K128="",K128=0),"",ROUND(I128/K128,1))</f>
        <v/>
      </c>
      <c r="M128" s="11" t="n"/>
      <c r="N128" s="11" t="n"/>
      <c r="O128" s="11" t="n"/>
      <c r="P128" s="11" t="n"/>
      <c r="Q128" s="11" t="n"/>
      <c r="R128" s="11" t="n"/>
      <c r="S128" s="11" t="n"/>
      <c r="T128" s="11">
        <f>IF(COUNT(M128:S128)&lt;7,"",ROUND(SUMPRODUCT(M128:S128,'マスタ設定'!$Q$2:$Q$8)*20,1))</f>
        <v/>
      </c>
      <c r="U128" s="11">
        <f>IF(T128="","",IF(T128&gt;='マスタ設定'!$S$5,"S：経営支援",IF(T128&gt;='マスタ設定'!$S$6,"A：重点",IF(T128&gt;='マスタ設定'!$S$7,"B：標準","C：省力化・撤退検討"))))</f>
        <v/>
      </c>
      <c r="V128" s="11">
        <f>IF(OR(L128="",K128=""),"",IF(AND(L128&lt;'マスタ設定'!$S$2,K128&gt;'マスタ設定'!$S$3),"要トリアージ",""))</f>
        <v/>
      </c>
      <c r="W128" s="11" t="n"/>
      <c r="X128" s="11" t="n"/>
      <c r="Y128" s="11" t="n"/>
      <c r="Z128" s="11">
        <f>IF(Y128="","",TODAY()-Y128)</f>
        <v/>
      </c>
      <c r="AA128" s="11">
        <f>IF(Z128="","",IF(Z128&gt;'マスタ設定'!$S$4,"停滞",""))</f>
        <v/>
      </c>
      <c r="AB128" s="11" t="n"/>
      <c r="AC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>
        <f>IF(OR(H129="",H129=0),"",I129/H129)</f>
        <v/>
      </c>
      <c r="K129" s="11" t="n"/>
      <c r="L129" s="11">
        <f>IF(OR(K129="",K129=0),"",ROUND(I129/K129,1))</f>
        <v/>
      </c>
      <c r="M129" s="11" t="n"/>
      <c r="N129" s="11" t="n"/>
      <c r="O129" s="11" t="n"/>
      <c r="P129" s="11" t="n"/>
      <c r="Q129" s="11" t="n"/>
      <c r="R129" s="11" t="n"/>
      <c r="S129" s="11" t="n"/>
      <c r="T129" s="11">
        <f>IF(COUNT(M129:S129)&lt;7,"",ROUND(SUMPRODUCT(M129:S129,'マスタ設定'!$Q$2:$Q$8)*20,1))</f>
        <v/>
      </c>
      <c r="U129" s="11">
        <f>IF(T129="","",IF(T129&gt;='マスタ設定'!$S$5,"S：経営支援",IF(T129&gt;='マスタ設定'!$S$6,"A：重点",IF(T129&gt;='マスタ設定'!$S$7,"B：標準","C：省力化・撤退検討"))))</f>
        <v/>
      </c>
      <c r="V129" s="11">
        <f>IF(OR(L129="",K129=""),"",IF(AND(L129&lt;'マスタ設定'!$S$2,K129&gt;'マスタ設定'!$S$3),"要トリアージ",""))</f>
        <v/>
      </c>
      <c r="W129" s="11" t="n"/>
      <c r="X129" s="11" t="n"/>
      <c r="Y129" s="11" t="n"/>
      <c r="Z129" s="11">
        <f>IF(Y129="","",TODAY()-Y129)</f>
        <v/>
      </c>
      <c r="AA129" s="11">
        <f>IF(Z129="","",IF(Z129&gt;'マスタ設定'!$S$4,"停滞",""))</f>
        <v/>
      </c>
      <c r="AB129" s="11" t="n"/>
      <c r="AC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>
        <f>IF(OR(H130="",H130=0),"",I130/H130)</f>
        <v/>
      </c>
      <c r="K130" s="11" t="n"/>
      <c r="L130" s="11">
        <f>IF(OR(K130="",K130=0),"",ROUND(I130/K130,1))</f>
        <v/>
      </c>
      <c r="M130" s="11" t="n"/>
      <c r="N130" s="11" t="n"/>
      <c r="O130" s="11" t="n"/>
      <c r="P130" s="11" t="n"/>
      <c r="Q130" s="11" t="n"/>
      <c r="R130" s="11" t="n"/>
      <c r="S130" s="11" t="n"/>
      <c r="T130" s="11">
        <f>IF(COUNT(M130:S130)&lt;7,"",ROUND(SUMPRODUCT(M130:S130,'マスタ設定'!$Q$2:$Q$8)*20,1))</f>
        <v/>
      </c>
      <c r="U130" s="11">
        <f>IF(T130="","",IF(T130&gt;='マスタ設定'!$S$5,"S：経営支援",IF(T130&gt;='マスタ設定'!$S$6,"A：重点",IF(T130&gt;='マスタ設定'!$S$7,"B：標準","C：省力化・撤退検討"))))</f>
        <v/>
      </c>
      <c r="V130" s="11">
        <f>IF(OR(L130="",K130=""),"",IF(AND(L130&lt;'マスタ設定'!$S$2,K130&gt;'マスタ設定'!$S$3),"要トリアージ",""))</f>
        <v/>
      </c>
      <c r="W130" s="11" t="n"/>
      <c r="X130" s="11" t="n"/>
      <c r="Y130" s="11" t="n"/>
      <c r="Z130" s="11">
        <f>IF(Y130="","",TODAY()-Y130)</f>
        <v/>
      </c>
      <c r="AA130" s="11">
        <f>IF(Z130="","",IF(Z130&gt;'マスタ設定'!$S$4,"停滞",""))</f>
        <v/>
      </c>
      <c r="AB130" s="11" t="n"/>
      <c r="AC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>
        <f>IF(OR(H131="",H131=0),"",I131/H131)</f>
        <v/>
      </c>
      <c r="K131" s="11" t="n"/>
      <c r="L131" s="11">
        <f>IF(OR(K131="",K131=0),"",ROUND(I131/K131,1))</f>
        <v/>
      </c>
      <c r="M131" s="11" t="n"/>
      <c r="N131" s="11" t="n"/>
      <c r="O131" s="11" t="n"/>
      <c r="P131" s="11" t="n"/>
      <c r="Q131" s="11" t="n"/>
      <c r="R131" s="11" t="n"/>
      <c r="S131" s="11" t="n"/>
      <c r="T131" s="11">
        <f>IF(COUNT(M131:S131)&lt;7,"",ROUND(SUMPRODUCT(M131:S131,'マスタ設定'!$Q$2:$Q$8)*20,1))</f>
        <v/>
      </c>
      <c r="U131" s="11">
        <f>IF(T131="","",IF(T131&gt;='マスタ設定'!$S$5,"S：経営支援",IF(T131&gt;='マスタ設定'!$S$6,"A：重点",IF(T131&gt;='マスタ設定'!$S$7,"B：標準","C：省力化・撤退検討"))))</f>
        <v/>
      </c>
      <c r="V131" s="11">
        <f>IF(OR(L131="",K131=""),"",IF(AND(L131&lt;'マスタ設定'!$S$2,K131&gt;'マスタ設定'!$S$3),"要トリアージ",""))</f>
        <v/>
      </c>
      <c r="W131" s="11" t="n"/>
      <c r="X131" s="11" t="n"/>
      <c r="Y131" s="11" t="n"/>
      <c r="Z131" s="11">
        <f>IF(Y131="","",TODAY()-Y131)</f>
        <v/>
      </c>
      <c r="AA131" s="11">
        <f>IF(Z131="","",IF(Z131&gt;'マスタ設定'!$S$4,"停滞",""))</f>
        <v/>
      </c>
      <c r="AB131" s="11" t="n"/>
      <c r="AC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>
        <f>IF(OR(H132="",H132=0),"",I132/H132)</f>
        <v/>
      </c>
      <c r="K132" s="11" t="n"/>
      <c r="L132" s="11">
        <f>IF(OR(K132="",K132=0),"",ROUND(I132/K132,1))</f>
        <v/>
      </c>
      <c r="M132" s="11" t="n"/>
      <c r="N132" s="11" t="n"/>
      <c r="O132" s="11" t="n"/>
      <c r="P132" s="11" t="n"/>
      <c r="Q132" s="11" t="n"/>
      <c r="R132" s="11" t="n"/>
      <c r="S132" s="11" t="n"/>
      <c r="T132" s="11">
        <f>IF(COUNT(M132:S132)&lt;7,"",ROUND(SUMPRODUCT(M132:S132,'マスタ設定'!$Q$2:$Q$8)*20,1))</f>
        <v/>
      </c>
      <c r="U132" s="11">
        <f>IF(T132="","",IF(T132&gt;='マスタ設定'!$S$5,"S：経営支援",IF(T132&gt;='マスタ設定'!$S$6,"A：重点",IF(T132&gt;='マスタ設定'!$S$7,"B：標準","C：省力化・撤退検討"))))</f>
        <v/>
      </c>
      <c r="V132" s="11">
        <f>IF(OR(L132="",K132=""),"",IF(AND(L132&lt;'マスタ設定'!$S$2,K132&gt;'マスタ設定'!$S$3),"要トリアージ",""))</f>
        <v/>
      </c>
      <c r="W132" s="11" t="n"/>
      <c r="X132" s="11" t="n"/>
      <c r="Y132" s="11" t="n"/>
      <c r="Z132" s="11">
        <f>IF(Y132="","",TODAY()-Y132)</f>
        <v/>
      </c>
      <c r="AA132" s="11">
        <f>IF(Z132="","",IF(Z132&gt;'マスタ設定'!$S$4,"停滞",""))</f>
        <v/>
      </c>
      <c r="AB132" s="11" t="n"/>
      <c r="AC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>
        <f>IF(OR(H133="",H133=0),"",I133/H133)</f>
        <v/>
      </c>
      <c r="K133" s="11" t="n"/>
      <c r="L133" s="11">
        <f>IF(OR(K133="",K133=0),"",ROUND(I133/K133,1))</f>
        <v/>
      </c>
      <c r="M133" s="11" t="n"/>
      <c r="N133" s="11" t="n"/>
      <c r="O133" s="11" t="n"/>
      <c r="P133" s="11" t="n"/>
      <c r="Q133" s="11" t="n"/>
      <c r="R133" s="11" t="n"/>
      <c r="S133" s="11" t="n"/>
      <c r="T133" s="11">
        <f>IF(COUNT(M133:S133)&lt;7,"",ROUND(SUMPRODUCT(M133:S133,'マスタ設定'!$Q$2:$Q$8)*20,1))</f>
        <v/>
      </c>
      <c r="U133" s="11">
        <f>IF(T133="","",IF(T133&gt;='マスタ設定'!$S$5,"S：経営支援",IF(T133&gt;='マスタ設定'!$S$6,"A：重点",IF(T133&gt;='マスタ設定'!$S$7,"B：標準","C：省力化・撤退検討"))))</f>
        <v/>
      </c>
      <c r="V133" s="11">
        <f>IF(OR(L133="",K133=""),"",IF(AND(L133&lt;'マスタ設定'!$S$2,K133&gt;'マスタ設定'!$S$3),"要トリアージ",""))</f>
        <v/>
      </c>
      <c r="W133" s="11" t="n"/>
      <c r="X133" s="11" t="n"/>
      <c r="Y133" s="11" t="n"/>
      <c r="Z133" s="11">
        <f>IF(Y133="","",TODAY()-Y133)</f>
        <v/>
      </c>
      <c r="AA133" s="11">
        <f>IF(Z133="","",IF(Z133&gt;'マスタ設定'!$S$4,"停滞",""))</f>
        <v/>
      </c>
      <c r="AB133" s="11" t="n"/>
      <c r="AC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>
        <f>IF(OR(H134="",H134=0),"",I134/H134)</f>
        <v/>
      </c>
      <c r="K134" s="11" t="n"/>
      <c r="L134" s="11">
        <f>IF(OR(K134="",K134=0),"",ROUND(I134/K134,1))</f>
        <v/>
      </c>
      <c r="M134" s="11" t="n"/>
      <c r="N134" s="11" t="n"/>
      <c r="O134" s="11" t="n"/>
      <c r="P134" s="11" t="n"/>
      <c r="Q134" s="11" t="n"/>
      <c r="R134" s="11" t="n"/>
      <c r="S134" s="11" t="n"/>
      <c r="T134" s="11">
        <f>IF(COUNT(M134:S134)&lt;7,"",ROUND(SUMPRODUCT(M134:S134,'マスタ設定'!$Q$2:$Q$8)*20,1))</f>
        <v/>
      </c>
      <c r="U134" s="11">
        <f>IF(T134="","",IF(T134&gt;='マスタ設定'!$S$5,"S：経営支援",IF(T134&gt;='マスタ設定'!$S$6,"A：重点",IF(T134&gt;='マスタ設定'!$S$7,"B：標準","C：省力化・撤退検討"))))</f>
        <v/>
      </c>
      <c r="V134" s="11">
        <f>IF(OR(L134="",K134=""),"",IF(AND(L134&lt;'マスタ設定'!$S$2,K134&gt;'マスタ設定'!$S$3),"要トリアージ",""))</f>
        <v/>
      </c>
      <c r="W134" s="11" t="n"/>
      <c r="X134" s="11" t="n"/>
      <c r="Y134" s="11" t="n"/>
      <c r="Z134" s="11">
        <f>IF(Y134="","",TODAY()-Y134)</f>
        <v/>
      </c>
      <c r="AA134" s="11">
        <f>IF(Z134="","",IF(Z134&gt;'マスタ設定'!$S$4,"停滞",""))</f>
        <v/>
      </c>
      <c r="AB134" s="11" t="n"/>
      <c r="AC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>
        <f>IF(OR(H135="",H135=0),"",I135/H135)</f>
        <v/>
      </c>
      <c r="K135" s="11" t="n"/>
      <c r="L135" s="11">
        <f>IF(OR(K135="",K135=0),"",ROUND(I135/K135,1))</f>
        <v/>
      </c>
      <c r="M135" s="11" t="n"/>
      <c r="N135" s="11" t="n"/>
      <c r="O135" s="11" t="n"/>
      <c r="P135" s="11" t="n"/>
      <c r="Q135" s="11" t="n"/>
      <c r="R135" s="11" t="n"/>
      <c r="S135" s="11" t="n"/>
      <c r="T135" s="11">
        <f>IF(COUNT(M135:S135)&lt;7,"",ROUND(SUMPRODUCT(M135:S135,'マスタ設定'!$Q$2:$Q$8)*20,1))</f>
        <v/>
      </c>
      <c r="U135" s="11">
        <f>IF(T135="","",IF(T135&gt;='マスタ設定'!$S$5,"S：経営支援",IF(T135&gt;='マスタ設定'!$S$6,"A：重点",IF(T135&gt;='マスタ設定'!$S$7,"B：標準","C：省力化・撤退検討"))))</f>
        <v/>
      </c>
      <c r="V135" s="11">
        <f>IF(OR(L135="",K135=""),"",IF(AND(L135&lt;'マスタ設定'!$S$2,K135&gt;'マスタ設定'!$S$3),"要トリアージ",""))</f>
        <v/>
      </c>
      <c r="W135" s="11" t="n"/>
      <c r="X135" s="11" t="n"/>
      <c r="Y135" s="11" t="n"/>
      <c r="Z135" s="11">
        <f>IF(Y135="","",TODAY()-Y135)</f>
        <v/>
      </c>
      <c r="AA135" s="11">
        <f>IF(Z135="","",IF(Z135&gt;'マスタ設定'!$S$4,"停滞",""))</f>
        <v/>
      </c>
      <c r="AB135" s="11" t="n"/>
      <c r="AC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>
        <f>IF(OR(H136="",H136=0),"",I136/H136)</f>
        <v/>
      </c>
      <c r="K136" s="11" t="n"/>
      <c r="L136" s="11">
        <f>IF(OR(K136="",K136=0),"",ROUND(I136/K136,1))</f>
        <v/>
      </c>
      <c r="M136" s="11" t="n"/>
      <c r="N136" s="11" t="n"/>
      <c r="O136" s="11" t="n"/>
      <c r="P136" s="11" t="n"/>
      <c r="Q136" s="11" t="n"/>
      <c r="R136" s="11" t="n"/>
      <c r="S136" s="11" t="n"/>
      <c r="T136" s="11">
        <f>IF(COUNT(M136:S136)&lt;7,"",ROUND(SUMPRODUCT(M136:S136,'マスタ設定'!$Q$2:$Q$8)*20,1))</f>
        <v/>
      </c>
      <c r="U136" s="11">
        <f>IF(T136="","",IF(T136&gt;='マスタ設定'!$S$5,"S：経営支援",IF(T136&gt;='マスタ設定'!$S$6,"A：重点",IF(T136&gt;='マスタ設定'!$S$7,"B：標準","C：省力化・撤退検討"))))</f>
        <v/>
      </c>
      <c r="V136" s="11">
        <f>IF(OR(L136="",K136=""),"",IF(AND(L136&lt;'マスタ設定'!$S$2,K136&gt;'マスタ設定'!$S$3),"要トリアージ",""))</f>
        <v/>
      </c>
      <c r="W136" s="11" t="n"/>
      <c r="X136" s="11" t="n"/>
      <c r="Y136" s="11" t="n"/>
      <c r="Z136" s="11">
        <f>IF(Y136="","",TODAY()-Y136)</f>
        <v/>
      </c>
      <c r="AA136" s="11">
        <f>IF(Z136="","",IF(Z136&gt;'マスタ設定'!$S$4,"停滞",""))</f>
        <v/>
      </c>
      <c r="AB136" s="11" t="n"/>
      <c r="AC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>
        <f>IF(OR(H137="",H137=0),"",I137/H137)</f>
        <v/>
      </c>
      <c r="K137" s="11" t="n"/>
      <c r="L137" s="11">
        <f>IF(OR(K137="",K137=0),"",ROUND(I137/K137,1))</f>
        <v/>
      </c>
      <c r="M137" s="11" t="n"/>
      <c r="N137" s="11" t="n"/>
      <c r="O137" s="11" t="n"/>
      <c r="P137" s="11" t="n"/>
      <c r="Q137" s="11" t="n"/>
      <c r="R137" s="11" t="n"/>
      <c r="S137" s="11" t="n"/>
      <c r="T137" s="11">
        <f>IF(COUNT(M137:S137)&lt;7,"",ROUND(SUMPRODUCT(M137:S137,'マスタ設定'!$Q$2:$Q$8)*20,1))</f>
        <v/>
      </c>
      <c r="U137" s="11">
        <f>IF(T137="","",IF(T137&gt;='マスタ設定'!$S$5,"S：経営支援",IF(T137&gt;='マスタ設定'!$S$6,"A：重点",IF(T137&gt;='マスタ設定'!$S$7,"B：標準","C：省力化・撤退検討"))))</f>
        <v/>
      </c>
      <c r="V137" s="11">
        <f>IF(OR(L137="",K137=""),"",IF(AND(L137&lt;'マスタ設定'!$S$2,K137&gt;'マスタ設定'!$S$3),"要トリアージ",""))</f>
        <v/>
      </c>
      <c r="W137" s="11" t="n"/>
      <c r="X137" s="11" t="n"/>
      <c r="Y137" s="11" t="n"/>
      <c r="Z137" s="11">
        <f>IF(Y137="","",TODAY()-Y137)</f>
        <v/>
      </c>
      <c r="AA137" s="11">
        <f>IF(Z137="","",IF(Z137&gt;'マスタ設定'!$S$4,"停滞",""))</f>
        <v/>
      </c>
      <c r="AB137" s="11" t="n"/>
      <c r="AC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>
        <f>IF(OR(H138="",H138=0),"",I138/H138)</f>
        <v/>
      </c>
      <c r="K138" s="11" t="n"/>
      <c r="L138" s="11">
        <f>IF(OR(K138="",K138=0),"",ROUND(I138/K138,1))</f>
        <v/>
      </c>
      <c r="M138" s="11" t="n"/>
      <c r="N138" s="11" t="n"/>
      <c r="O138" s="11" t="n"/>
      <c r="P138" s="11" t="n"/>
      <c r="Q138" s="11" t="n"/>
      <c r="R138" s="11" t="n"/>
      <c r="S138" s="11" t="n"/>
      <c r="T138" s="11">
        <f>IF(COUNT(M138:S138)&lt;7,"",ROUND(SUMPRODUCT(M138:S138,'マスタ設定'!$Q$2:$Q$8)*20,1))</f>
        <v/>
      </c>
      <c r="U138" s="11">
        <f>IF(T138="","",IF(T138&gt;='マスタ設定'!$S$5,"S：経営支援",IF(T138&gt;='マスタ設定'!$S$6,"A：重点",IF(T138&gt;='マスタ設定'!$S$7,"B：標準","C：省力化・撤退検討"))))</f>
        <v/>
      </c>
      <c r="V138" s="11">
        <f>IF(OR(L138="",K138=""),"",IF(AND(L138&lt;'マスタ設定'!$S$2,K138&gt;'マスタ設定'!$S$3),"要トリアージ",""))</f>
        <v/>
      </c>
      <c r="W138" s="11" t="n"/>
      <c r="X138" s="11" t="n"/>
      <c r="Y138" s="11" t="n"/>
      <c r="Z138" s="11">
        <f>IF(Y138="","",TODAY()-Y138)</f>
        <v/>
      </c>
      <c r="AA138" s="11">
        <f>IF(Z138="","",IF(Z138&gt;'マスタ設定'!$S$4,"停滞",""))</f>
        <v/>
      </c>
      <c r="AB138" s="11" t="n"/>
      <c r="AC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>
        <f>IF(OR(H139="",H139=0),"",I139/H139)</f>
        <v/>
      </c>
      <c r="K139" s="11" t="n"/>
      <c r="L139" s="11">
        <f>IF(OR(K139="",K139=0),"",ROUND(I139/K139,1))</f>
        <v/>
      </c>
      <c r="M139" s="11" t="n"/>
      <c r="N139" s="11" t="n"/>
      <c r="O139" s="11" t="n"/>
      <c r="P139" s="11" t="n"/>
      <c r="Q139" s="11" t="n"/>
      <c r="R139" s="11" t="n"/>
      <c r="S139" s="11" t="n"/>
      <c r="T139" s="11">
        <f>IF(COUNT(M139:S139)&lt;7,"",ROUND(SUMPRODUCT(M139:S139,'マスタ設定'!$Q$2:$Q$8)*20,1))</f>
        <v/>
      </c>
      <c r="U139" s="11">
        <f>IF(T139="","",IF(T139&gt;='マスタ設定'!$S$5,"S：経営支援",IF(T139&gt;='マスタ設定'!$S$6,"A：重点",IF(T139&gt;='マスタ設定'!$S$7,"B：標準","C：省力化・撤退検討"))))</f>
        <v/>
      </c>
      <c r="V139" s="11">
        <f>IF(OR(L139="",K139=""),"",IF(AND(L139&lt;'マスタ設定'!$S$2,K139&gt;'マスタ設定'!$S$3),"要トリアージ",""))</f>
        <v/>
      </c>
      <c r="W139" s="11" t="n"/>
      <c r="X139" s="11" t="n"/>
      <c r="Y139" s="11" t="n"/>
      <c r="Z139" s="11">
        <f>IF(Y139="","",TODAY()-Y139)</f>
        <v/>
      </c>
      <c r="AA139" s="11">
        <f>IF(Z139="","",IF(Z139&gt;'マスタ設定'!$S$4,"停滞",""))</f>
        <v/>
      </c>
      <c r="AB139" s="11" t="n"/>
      <c r="AC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>
        <f>IF(OR(H140="",H140=0),"",I140/H140)</f>
        <v/>
      </c>
      <c r="K140" s="11" t="n"/>
      <c r="L140" s="11">
        <f>IF(OR(K140="",K140=0),"",ROUND(I140/K140,1))</f>
        <v/>
      </c>
      <c r="M140" s="11" t="n"/>
      <c r="N140" s="11" t="n"/>
      <c r="O140" s="11" t="n"/>
      <c r="P140" s="11" t="n"/>
      <c r="Q140" s="11" t="n"/>
      <c r="R140" s="11" t="n"/>
      <c r="S140" s="11" t="n"/>
      <c r="T140" s="11">
        <f>IF(COUNT(M140:S140)&lt;7,"",ROUND(SUMPRODUCT(M140:S140,'マスタ設定'!$Q$2:$Q$8)*20,1))</f>
        <v/>
      </c>
      <c r="U140" s="11">
        <f>IF(T140="","",IF(T140&gt;='マスタ設定'!$S$5,"S：経営支援",IF(T140&gt;='マスタ設定'!$S$6,"A：重点",IF(T140&gt;='マスタ設定'!$S$7,"B：標準","C：省力化・撤退検討"))))</f>
        <v/>
      </c>
      <c r="V140" s="11">
        <f>IF(OR(L140="",K140=""),"",IF(AND(L140&lt;'マスタ設定'!$S$2,K140&gt;'マスタ設定'!$S$3),"要トリアージ",""))</f>
        <v/>
      </c>
      <c r="W140" s="11" t="n"/>
      <c r="X140" s="11" t="n"/>
      <c r="Y140" s="11" t="n"/>
      <c r="Z140" s="11">
        <f>IF(Y140="","",TODAY()-Y140)</f>
        <v/>
      </c>
      <c r="AA140" s="11">
        <f>IF(Z140="","",IF(Z140&gt;'マスタ設定'!$S$4,"停滞",""))</f>
        <v/>
      </c>
      <c r="AB140" s="11" t="n"/>
      <c r="AC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>
        <f>IF(OR(H141="",H141=0),"",I141/H141)</f>
        <v/>
      </c>
      <c r="K141" s="11" t="n"/>
      <c r="L141" s="11">
        <f>IF(OR(K141="",K141=0),"",ROUND(I141/K141,1))</f>
        <v/>
      </c>
      <c r="M141" s="11" t="n"/>
      <c r="N141" s="11" t="n"/>
      <c r="O141" s="11" t="n"/>
      <c r="P141" s="11" t="n"/>
      <c r="Q141" s="11" t="n"/>
      <c r="R141" s="11" t="n"/>
      <c r="S141" s="11" t="n"/>
      <c r="T141" s="11">
        <f>IF(COUNT(M141:S141)&lt;7,"",ROUND(SUMPRODUCT(M141:S141,'マスタ設定'!$Q$2:$Q$8)*20,1))</f>
        <v/>
      </c>
      <c r="U141" s="11">
        <f>IF(T141="","",IF(T141&gt;='マスタ設定'!$S$5,"S：経営支援",IF(T141&gt;='マスタ設定'!$S$6,"A：重点",IF(T141&gt;='マスタ設定'!$S$7,"B：標準","C：省力化・撤退検討"))))</f>
        <v/>
      </c>
      <c r="V141" s="11">
        <f>IF(OR(L141="",K141=""),"",IF(AND(L141&lt;'マスタ設定'!$S$2,K141&gt;'マスタ設定'!$S$3),"要トリアージ",""))</f>
        <v/>
      </c>
      <c r="W141" s="11" t="n"/>
      <c r="X141" s="11" t="n"/>
      <c r="Y141" s="11" t="n"/>
      <c r="Z141" s="11">
        <f>IF(Y141="","",TODAY()-Y141)</f>
        <v/>
      </c>
      <c r="AA141" s="11">
        <f>IF(Z141="","",IF(Z141&gt;'マスタ設定'!$S$4,"停滞",""))</f>
        <v/>
      </c>
      <c r="AB141" s="11" t="n"/>
      <c r="AC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>
        <f>IF(OR(H142="",H142=0),"",I142/H142)</f>
        <v/>
      </c>
      <c r="K142" s="11" t="n"/>
      <c r="L142" s="11">
        <f>IF(OR(K142="",K142=0),"",ROUND(I142/K142,1))</f>
        <v/>
      </c>
      <c r="M142" s="11" t="n"/>
      <c r="N142" s="11" t="n"/>
      <c r="O142" s="11" t="n"/>
      <c r="P142" s="11" t="n"/>
      <c r="Q142" s="11" t="n"/>
      <c r="R142" s="11" t="n"/>
      <c r="S142" s="11" t="n"/>
      <c r="T142" s="11">
        <f>IF(COUNT(M142:S142)&lt;7,"",ROUND(SUMPRODUCT(M142:S142,'マスタ設定'!$Q$2:$Q$8)*20,1))</f>
        <v/>
      </c>
      <c r="U142" s="11">
        <f>IF(T142="","",IF(T142&gt;='マスタ設定'!$S$5,"S：経営支援",IF(T142&gt;='マスタ設定'!$S$6,"A：重点",IF(T142&gt;='マスタ設定'!$S$7,"B：標準","C：省力化・撤退検討"))))</f>
        <v/>
      </c>
      <c r="V142" s="11">
        <f>IF(OR(L142="",K142=""),"",IF(AND(L142&lt;'マスタ設定'!$S$2,K142&gt;'マスタ設定'!$S$3),"要トリアージ",""))</f>
        <v/>
      </c>
      <c r="W142" s="11" t="n"/>
      <c r="X142" s="11" t="n"/>
      <c r="Y142" s="11" t="n"/>
      <c r="Z142" s="11">
        <f>IF(Y142="","",TODAY()-Y142)</f>
        <v/>
      </c>
      <c r="AA142" s="11">
        <f>IF(Z142="","",IF(Z142&gt;'マスタ設定'!$S$4,"停滞",""))</f>
        <v/>
      </c>
      <c r="AB142" s="11" t="n"/>
      <c r="AC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>
        <f>IF(OR(H143="",H143=0),"",I143/H143)</f>
        <v/>
      </c>
      <c r="K143" s="11" t="n"/>
      <c r="L143" s="11">
        <f>IF(OR(K143="",K143=0),"",ROUND(I143/K143,1))</f>
        <v/>
      </c>
      <c r="M143" s="11" t="n"/>
      <c r="N143" s="11" t="n"/>
      <c r="O143" s="11" t="n"/>
      <c r="P143" s="11" t="n"/>
      <c r="Q143" s="11" t="n"/>
      <c r="R143" s="11" t="n"/>
      <c r="S143" s="11" t="n"/>
      <c r="T143" s="11">
        <f>IF(COUNT(M143:S143)&lt;7,"",ROUND(SUMPRODUCT(M143:S143,'マスタ設定'!$Q$2:$Q$8)*20,1))</f>
        <v/>
      </c>
      <c r="U143" s="11">
        <f>IF(T143="","",IF(T143&gt;='マスタ設定'!$S$5,"S：経営支援",IF(T143&gt;='マスタ設定'!$S$6,"A：重点",IF(T143&gt;='マスタ設定'!$S$7,"B：標準","C：省力化・撤退検討"))))</f>
        <v/>
      </c>
      <c r="V143" s="11">
        <f>IF(OR(L143="",K143=""),"",IF(AND(L143&lt;'マスタ設定'!$S$2,K143&gt;'マスタ設定'!$S$3),"要トリアージ",""))</f>
        <v/>
      </c>
      <c r="W143" s="11" t="n"/>
      <c r="X143" s="11" t="n"/>
      <c r="Y143" s="11" t="n"/>
      <c r="Z143" s="11">
        <f>IF(Y143="","",TODAY()-Y143)</f>
        <v/>
      </c>
      <c r="AA143" s="11">
        <f>IF(Z143="","",IF(Z143&gt;'マスタ設定'!$S$4,"停滞",""))</f>
        <v/>
      </c>
      <c r="AB143" s="11" t="n"/>
      <c r="AC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>
        <f>IF(OR(H144="",H144=0),"",I144/H144)</f>
        <v/>
      </c>
      <c r="K144" s="11" t="n"/>
      <c r="L144" s="11">
        <f>IF(OR(K144="",K144=0),"",ROUND(I144/K144,1))</f>
        <v/>
      </c>
      <c r="M144" s="11" t="n"/>
      <c r="N144" s="11" t="n"/>
      <c r="O144" s="11" t="n"/>
      <c r="P144" s="11" t="n"/>
      <c r="Q144" s="11" t="n"/>
      <c r="R144" s="11" t="n"/>
      <c r="S144" s="11" t="n"/>
      <c r="T144" s="11">
        <f>IF(COUNT(M144:S144)&lt;7,"",ROUND(SUMPRODUCT(M144:S144,'マスタ設定'!$Q$2:$Q$8)*20,1))</f>
        <v/>
      </c>
      <c r="U144" s="11">
        <f>IF(T144="","",IF(T144&gt;='マスタ設定'!$S$5,"S：経営支援",IF(T144&gt;='マスタ設定'!$S$6,"A：重点",IF(T144&gt;='マスタ設定'!$S$7,"B：標準","C：省力化・撤退検討"))))</f>
        <v/>
      </c>
      <c r="V144" s="11">
        <f>IF(OR(L144="",K144=""),"",IF(AND(L144&lt;'マスタ設定'!$S$2,K144&gt;'マスタ設定'!$S$3),"要トリアージ",""))</f>
        <v/>
      </c>
      <c r="W144" s="11" t="n"/>
      <c r="X144" s="11" t="n"/>
      <c r="Y144" s="11" t="n"/>
      <c r="Z144" s="11">
        <f>IF(Y144="","",TODAY()-Y144)</f>
        <v/>
      </c>
      <c r="AA144" s="11">
        <f>IF(Z144="","",IF(Z144&gt;'マスタ設定'!$S$4,"停滞",""))</f>
        <v/>
      </c>
      <c r="AB144" s="11" t="n"/>
      <c r="AC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>
        <f>IF(OR(H145="",H145=0),"",I145/H145)</f>
        <v/>
      </c>
      <c r="K145" s="11" t="n"/>
      <c r="L145" s="11">
        <f>IF(OR(K145="",K145=0),"",ROUND(I145/K145,1))</f>
        <v/>
      </c>
      <c r="M145" s="11" t="n"/>
      <c r="N145" s="11" t="n"/>
      <c r="O145" s="11" t="n"/>
      <c r="P145" s="11" t="n"/>
      <c r="Q145" s="11" t="n"/>
      <c r="R145" s="11" t="n"/>
      <c r="S145" s="11" t="n"/>
      <c r="T145" s="11">
        <f>IF(COUNT(M145:S145)&lt;7,"",ROUND(SUMPRODUCT(M145:S145,'マスタ設定'!$Q$2:$Q$8)*20,1))</f>
        <v/>
      </c>
      <c r="U145" s="11">
        <f>IF(T145="","",IF(T145&gt;='マスタ設定'!$S$5,"S：経営支援",IF(T145&gt;='マスタ設定'!$S$6,"A：重点",IF(T145&gt;='マスタ設定'!$S$7,"B：標準","C：省力化・撤退検討"))))</f>
        <v/>
      </c>
      <c r="V145" s="11">
        <f>IF(OR(L145="",K145=""),"",IF(AND(L145&lt;'マスタ設定'!$S$2,K145&gt;'マスタ設定'!$S$3),"要トリアージ",""))</f>
        <v/>
      </c>
      <c r="W145" s="11" t="n"/>
      <c r="X145" s="11" t="n"/>
      <c r="Y145" s="11" t="n"/>
      <c r="Z145" s="11">
        <f>IF(Y145="","",TODAY()-Y145)</f>
        <v/>
      </c>
      <c r="AA145" s="11">
        <f>IF(Z145="","",IF(Z145&gt;'マスタ設定'!$S$4,"停滞",""))</f>
        <v/>
      </c>
      <c r="AB145" s="11" t="n"/>
      <c r="AC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>
        <f>IF(OR(H146="",H146=0),"",I146/H146)</f>
        <v/>
      </c>
      <c r="K146" s="11" t="n"/>
      <c r="L146" s="11">
        <f>IF(OR(K146="",K146=0),"",ROUND(I146/K146,1))</f>
        <v/>
      </c>
      <c r="M146" s="11" t="n"/>
      <c r="N146" s="11" t="n"/>
      <c r="O146" s="11" t="n"/>
      <c r="P146" s="11" t="n"/>
      <c r="Q146" s="11" t="n"/>
      <c r="R146" s="11" t="n"/>
      <c r="S146" s="11" t="n"/>
      <c r="T146" s="11">
        <f>IF(COUNT(M146:S146)&lt;7,"",ROUND(SUMPRODUCT(M146:S146,'マスタ設定'!$Q$2:$Q$8)*20,1))</f>
        <v/>
      </c>
      <c r="U146" s="11">
        <f>IF(T146="","",IF(T146&gt;='マスタ設定'!$S$5,"S：経営支援",IF(T146&gt;='マスタ設定'!$S$6,"A：重点",IF(T146&gt;='マスタ設定'!$S$7,"B：標準","C：省力化・撤退検討"))))</f>
        <v/>
      </c>
      <c r="V146" s="11">
        <f>IF(OR(L146="",K146=""),"",IF(AND(L146&lt;'マスタ設定'!$S$2,K146&gt;'マスタ設定'!$S$3),"要トリアージ",""))</f>
        <v/>
      </c>
      <c r="W146" s="11" t="n"/>
      <c r="X146" s="11" t="n"/>
      <c r="Y146" s="11" t="n"/>
      <c r="Z146" s="11">
        <f>IF(Y146="","",TODAY()-Y146)</f>
        <v/>
      </c>
      <c r="AA146" s="11">
        <f>IF(Z146="","",IF(Z146&gt;'マスタ設定'!$S$4,"停滞",""))</f>
        <v/>
      </c>
      <c r="AB146" s="11" t="n"/>
      <c r="AC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>
        <f>IF(OR(H147="",H147=0),"",I147/H147)</f>
        <v/>
      </c>
      <c r="K147" s="11" t="n"/>
      <c r="L147" s="11">
        <f>IF(OR(K147="",K147=0),"",ROUND(I147/K147,1))</f>
        <v/>
      </c>
      <c r="M147" s="11" t="n"/>
      <c r="N147" s="11" t="n"/>
      <c r="O147" s="11" t="n"/>
      <c r="P147" s="11" t="n"/>
      <c r="Q147" s="11" t="n"/>
      <c r="R147" s="11" t="n"/>
      <c r="S147" s="11" t="n"/>
      <c r="T147" s="11">
        <f>IF(COUNT(M147:S147)&lt;7,"",ROUND(SUMPRODUCT(M147:S147,'マスタ設定'!$Q$2:$Q$8)*20,1))</f>
        <v/>
      </c>
      <c r="U147" s="11">
        <f>IF(T147="","",IF(T147&gt;='マスタ設定'!$S$5,"S：経営支援",IF(T147&gt;='マスタ設定'!$S$6,"A：重点",IF(T147&gt;='マスタ設定'!$S$7,"B：標準","C：省力化・撤退検討"))))</f>
        <v/>
      </c>
      <c r="V147" s="11">
        <f>IF(OR(L147="",K147=""),"",IF(AND(L147&lt;'マスタ設定'!$S$2,K147&gt;'マスタ設定'!$S$3),"要トリアージ",""))</f>
        <v/>
      </c>
      <c r="W147" s="11" t="n"/>
      <c r="X147" s="11" t="n"/>
      <c r="Y147" s="11" t="n"/>
      <c r="Z147" s="11">
        <f>IF(Y147="","",TODAY()-Y147)</f>
        <v/>
      </c>
      <c r="AA147" s="11">
        <f>IF(Z147="","",IF(Z147&gt;'マスタ設定'!$S$4,"停滞",""))</f>
        <v/>
      </c>
      <c r="AB147" s="11" t="n"/>
      <c r="AC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>
        <f>IF(OR(H148="",H148=0),"",I148/H148)</f>
        <v/>
      </c>
      <c r="K148" s="11" t="n"/>
      <c r="L148" s="11">
        <f>IF(OR(K148="",K148=0),"",ROUND(I148/K148,1))</f>
        <v/>
      </c>
      <c r="M148" s="11" t="n"/>
      <c r="N148" s="11" t="n"/>
      <c r="O148" s="11" t="n"/>
      <c r="P148" s="11" t="n"/>
      <c r="Q148" s="11" t="n"/>
      <c r="R148" s="11" t="n"/>
      <c r="S148" s="11" t="n"/>
      <c r="T148" s="11">
        <f>IF(COUNT(M148:S148)&lt;7,"",ROUND(SUMPRODUCT(M148:S148,'マスタ設定'!$Q$2:$Q$8)*20,1))</f>
        <v/>
      </c>
      <c r="U148" s="11">
        <f>IF(T148="","",IF(T148&gt;='マスタ設定'!$S$5,"S：経営支援",IF(T148&gt;='マスタ設定'!$S$6,"A：重点",IF(T148&gt;='マスタ設定'!$S$7,"B：標準","C：省力化・撤退検討"))))</f>
        <v/>
      </c>
      <c r="V148" s="11">
        <f>IF(OR(L148="",K148=""),"",IF(AND(L148&lt;'マスタ設定'!$S$2,K148&gt;'マスタ設定'!$S$3),"要トリアージ",""))</f>
        <v/>
      </c>
      <c r="W148" s="11" t="n"/>
      <c r="X148" s="11" t="n"/>
      <c r="Y148" s="11" t="n"/>
      <c r="Z148" s="11">
        <f>IF(Y148="","",TODAY()-Y148)</f>
        <v/>
      </c>
      <c r="AA148" s="11">
        <f>IF(Z148="","",IF(Z148&gt;'マスタ設定'!$S$4,"停滞",""))</f>
        <v/>
      </c>
      <c r="AB148" s="11" t="n"/>
      <c r="AC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>
        <f>IF(OR(H149="",H149=0),"",I149/H149)</f>
        <v/>
      </c>
      <c r="K149" s="11" t="n"/>
      <c r="L149" s="11">
        <f>IF(OR(K149="",K149=0),"",ROUND(I149/K149,1))</f>
        <v/>
      </c>
      <c r="M149" s="11" t="n"/>
      <c r="N149" s="11" t="n"/>
      <c r="O149" s="11" t="n"/>
      <c r="P149" s="11" t="n"/>
      <c r="Q149" s="11" t="n"/>
      <c r="R149" s="11" t="n"/>
      <c r="S149" s="11" t="n"/>
      <c r="T149" s="11">
        <f>IF(COUNT(M149:S149)&lt;7,"",ROUND(SUMPRODUCT(M149:S149,'マスタ設定'!$Q$2:$Q$8)*20,1))</f>
        <v/>
      </c>
      <c r="U149" s="11">
        <f>IF(T149="","",IF(T149&gt;='マスタ設定'!$S$5,"S：経営支援",IF(T149&gt;='マスタ設定'!$S$6,"A：重点",IF(T149&gt;='マスタ設定'!$S$7,"B：標準","C：省力化・撤退検討"))))</f>
        <v/>
      </c>
      <c r="V149" s="11">
        <f>IF(OR(L149="",K149=""),"",IF(AND(L149&lt;'マスタ設定'!$S$2,K149&gt;'マスタ設定'!$S$3),"要トリアージ",""))</f>
        <v/>
      </c>
      <c r="W149" s="11" t="n"/>
      <c r="X149" s="11" t="n"/>
      <c r="Y149" s="11" t="n"/>
      <c r="Z149" s="11">
        <f>IF(Y149="","",TODAY()-Y149)</f>
        <v/>
      </c>
      <c r="AA149" s="11">
        <f>IF(Z149="","",IF(Z149&gt;'マスタ設定'!$S$4,"停滞",""))</f>
        <v/>
      </c>
      <c r="AB149" s="11" t="n"/>
      <c r="AC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>
        <f>IF(OR(H150="",H150=0),"",I150/H150)</f>
        <v/>
      </c>
      <c r="K150" s="11" t="n"/>
      <c r="L150" s="11">
        <f>IF(OR(K150="",K150=0),"",ROUND(I150/K150,1))</f>
        <v/>
      </c>
      <c r="M150" s="11" t="n"/>
      <c r="N150" s="11" t="n"/>
      <c r="O150" s="11" t="n"/>
      <c r="P150" s="11" t="n"/>
      <c r="Q150" s="11" t="n"/>
      <c r="R150" s="11" t="n"/>
      <c r="S150" s="11" t="n"/>
      <c r="T150" s="11">
        <f>IF(COUNT(M150:S150)&lt;7,"",ROUND(SUMPRODUCT(M150:S150,'マスタ設定'!$Q$2:$Q$8)*20,1))</f>
        <v/>
      </c>
      <c r="U150" s="11">
        <f>IF(T150="","",IF(T150&gt;='マスタ設定'!$S$5,"S：経営支援",IF(T150&gt;='マスタ設定'!$S$6,"A：重点",IF(T150&gt;='マスタ設定'!$S$7,"B：標準","C：省力化・撤退検討"))))</f>
        <v/>
      </c>
      <c r="V150" s="11">
        <f>IF(OR(L150="",K150=""),"",IF(AND(L150&lt;'マスタ設定'!$S$2,K150&gt;'マスタ設定'!$S$3),"要トリアージ",""))</f>
        <v/>
      </c>
      <c r="W150" s="11" t="n"/>
      <c r="X150" s="11" t="n"/>
      <c r="Y150" s="11" t="n"/>
      <c r="Z150" s="11">
        <f>IF(Y150="","",TODAY()-Y150)</f>
        <v/>
      </c>
      <c r="AA150" s="11">
        <f>IF(Z150="","",IF(Z150&gt;'マスタ設定'!$S$4,"停滞",""))</f>
        <v/>
      </c>
      <c r="AB150" s="11" t="n"/>
      <c r="AC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>
        <f>IF(OR(H151="",H151=0),"",I151/H151)</f>
        <v/>
      </c>
      <c r="K151" s="11" t="n"/>
      <c r="L151" s="11">
        <f>IF(OR(K151="",K151=0),"",ROUND(I151/K151,1))</f>
        <v/>
      </c>
      <c r="M151" s="11" t="n"/>
      <c r="N151" s="11" t="n"/>
      <c r="O151" s="11" t="n"/>
      <c r="P151" s="11" t="n"/>
      <c r="Q151" s="11" t="n"/>
      <c r="R151" s="11" t="n"/>
      <c r="S151" s="11" t="n"/>
      <c r="T151" s="11">
        <f>IF(COUNT(M151:S151)&lt;7,"",ROUND(SUMPRODUCT(M151:S151,'マスタ設定'!$Q$2:$Q$8)*20,1))</f>
        <v/>
      </c>
      <c r="U151" s="11">
        <f>IF(T151="","",IF(T151&gt;='マスタ設定'!$S$5,"S：経営支援",IF(T151&gt;='マスタ設定'!$S$6,"A：重点",IF(T151&gt;='マスタ設定'!$S$7,"B：標準","C：省力化・撤退検討"))))</f>
        <v/>
      </c>
      <c r="V151" s="11">
        <f>IF(OR(L151="",K151=""),"",IF(AND(L151&lt;'マスタ設定'!$S$2,K151&gt;'マスタ設定'!$S$3),"要トリアージ",""))</f>
        <v/>
      </c>
      <c r="W151" s="11" t="n"/>
      <c r="X151" s="11" t="n"/>
      <c r="Y151" s="11" t="n"/>
      <c r="Z151" s="11">
        <f>IF(Y151="","",TODAY()-Y151)</f>
        <v/>
      </c>
      <c r="AA151" s="11">
        <f>IF(Z151="","",IF(Z151&gt;'マスタ設定'!$S$4,"停滞",""))</f>
        <v/>
      </c>
      <c r="AB151" s="11" t="n"/>
      <c r="AC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>
        <f>IF(OR(H152="",H152=0),"",I152/H152)</f>
        <v/>
      </c>
      <c r="K152" s="11" t="n"/>
      <c r="L152" s="11">
        <f>IF(OR(K152="",K152=0),"",ROUND(I152/K152,1))</f>
        <v/>
      </c>
      <c r="M152" s="11" t="n"/>
      <c r="N152" s="11" t="n"/>
      <c r="O152" s="11" t="n"/>
      <c r="P152" s="11" t="n"/>
      <c r="Q152" s="11" t="n"/>
      <c r="R152" s="11" t="n"/>
      <c r="S152" s="11" t="n"/>
      <c r="T152" s="11">
        <f>IF(COUNT(M152:S152)&lt;7,"",ROUND(SUMPRODUCT(M152:S152,'マスタ設定'!$Q$2:$Q$8)*20,1))</f>
        <v/>
      </c>
      <c r="U152" s="11">
        <f>IF(T152="","",IF(T152&gt;='マスタ設定'!$S$5,"S：経営支援",IF(T152&gt;='マスタ設定'!$S$6,"A：重点",IF(T152&gt;='マスタ設定'!$S$7,"B：標準","C：省力化・撤退検討"))))</f>
        <v/>
      </c>
      <c r="V152" s="11">
        <f>IF(OR(L152="",K152=""),"",IF(AND(L152&lt;'マスタ設定'!$S$2,K152&gt;'マスタ設定'!$S$3),"要トリアージ",""))</f>
        <v/>
      </c>
      <c r="W152" s="11" t="n"/>
      <c r="X152" s="11" t="n"/>
      <c r="Y152" s="11" t="n"/>
      <c r="Z152" s="11">
        <f>IF(Y152="","",TODAY()-Y152)</f>
        <v/>
      </c>
      <c r="AA152" s="11">
        <f>IF(Z152="","",IF(Z152&gt;'マスタ設定'!$S$4,"停滞",""))</f>
        <v/>
      </c>
      <c r="AB152" s="11" t="n"/>
      <c r="AC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>
        <f>IF(OR(H153="",H153=0),"",I153/H153)</f>
        <v/>
      </c>
      <c r="K153" s="11" t="n"/>
      <c r="L153" s="11">
        <f>IF(OR(K153="",K153=0),"",ROUND(I153/K153,1))</f>
        <v/>
      </c>
      <c r="M153" s="11" t="n"/>
      <c r="N153" s="11" t="n"/>
      <c r="O153" s="11" t="n"/>
      <c r="P153" s="11" t="n"/>
      <c r="Q153" s="11" t="n"/>
      <c r="R153" s="11" t="n"/>
      <c r="S153" s="11" t="n"/>
      <c r="T153" s="11">
        <f>IF(COUNT(M153:S153)&lt;7,"",ROUND(SUMPRODUCT(M153:S153,'マスタ設定'!$Q$2:$Q$8)*20,1))</f>
        <v/>
      </c>
      <c r="U153" s="11">
        <f>IF(T153="","",IF(T153&gt;='マスタ設定'!$S$5,"S：経営支援",IF(T153&gt;='マスタ設定'!$S$6,"A：重点",IF(T153&gt;='マスタ設定'!$S$7,"B：標準","C：省力化・撤退検討"))))</f>
        <v/>
      </c>
      <c r="V153" s="11">
        <f>IF(OR(L153="",K153=""),"",IF(AND(L153&lt;'マスタ設定'!$S$2,K153&gt;'マスタ設定'!$S$3),"要トリアージ",""))</f>
        <v/>
      </c>
      <c r="W153" s="11" t="n"/>
      <c r="X153" s="11" t="n"/>
      <c r="Y153" s="11" t="n"/>
      <c r="Z153" s="11">
        <f>IF(Y153="","",TODAY()-Y153)</f>
        <v/>
      </c>
      <c r="AA153" s="11">
        <f>IF(Z153="","",IF(Z153&gt;'マスタ設定'!$S$4,"停滞",""))</f>
        <v/>
      </c>
      <c r="AB153" s="11" t="n"/>
      <c r="AC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>
        <f>IF(OR(H154="",H154=0),"",I154/H154)</f>
        <v/>
      </c>
      <c r="K154" s="11" t="n"/>
      <c r="L154" s="11">
        <f>IF(OR(K154="",K154=0),"",ROUND(I154/K154,1))</f>
        <v/>
      </c>
      <c r="M154" s="11" t="n"/>
      <c r="N154" s="11" t="n"/>
      <c r="O154" s="11" t="n"/>
      <c r="P154" s="11" t="n"/>
      <c r="Q154" s="11" t="n"/>
      <c r="R154" s="11" t="n"/>
      <c r="S154" s="11" t="n"/>
      <c r="T154" s="11">
        <f>IF(COUNT(M154:S154)&lt;7,"",ROUND(SUMPRODUCT(M154:S154,'マスタ設定'!$Q$2:$Q$8)*20,1))</f>
        <v/>
      </c>
      <c r="U154" s="11">
        <f>IF(T154="","",IF(T154&gt;='マスタ設定'!$S$5,"S：経営支援",IF(T154&gt;='マスタ設定'!$S$6,"A：重点",IF(T154&gt;='マスタ設定'!$S$7,"B：標準","C：省力化・撤退検討"))))</f>
        <v/>
      </c>
      <c r="V154" s="11">
        <f>IF(OR(L154="",K154=""),"",IF(AND(L154&lt;'マスタ設定'!$S$2,K154&gt;'マスタ設定'!$S$3),"要トリアージ",""))</f>
        <v/>
      </c>
      <c r="W154" s="11" t="n"/>
      <c r="X154" s="11" t="n"/>
      <c r="Y154" s="11" t="n"/>
      <c r="Z154" s="11">
        <f>IF(Y154="","",TODAY()-Y154)</f>
        <v/>
      </c>
      <c r="AA154" s="11">
        <f>IF(Z154="","",IF(Z154&gt;'マスタ設定'!$S$4,"停滞",""))</f>
        <v/>
      </c>
      <c r="AB154" s="11" t="n"/>
      <c r="AC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>
        <f>IF(OR(H155="",H155=0),"",I155/H155)</f>
        <v/>
      </c>
      <c r="K155" s="11" t="n"/>
      <c r="L155" s="11">
        <f>IF(OR(K155="",K155=0),"",ROUND(I155/K155,1))</f>
        <v/>
      </c>
      <c r="M155" s="11" t="n"/>
      <c r="N155" s="11" t="n"/>
      <c r="O155" s="11" t="n"/>
      <c r="P155" s="11" t="n"/>
      <c r="Q155" s="11" t="n"/>
      <c r="R155" s="11" t="n"/>
      <c r="S155" s="11" t="n"/>
      <c r="T155" s="11">
        <f>IF(COUNT(M155:S155)&lt;7,"",ROUND(SUMPRODUCT(M155:S155,'マスタ設定'!$Q$2:$Q$8)*20,1))</f>
        <v/>
      </c>
      <c r="U155" s="11">
        <f>IF(T155="","",IF(T155&gt;='マスタ設定'!$S$5,"S：経営支援",IF(T155&gt;='マスタ設定'!$S$6,"A：重点",IF(T155&gt;='マスタ設定'!$S$7,"B：標準","C：省力化・撤退検討"))))</f>
        <v/>
      </c>
      <c r="V155" s="11">
        <f>IF(OR(L155="",K155=""),"",IF(AND(L155&lt;'マスタ設定'!$S$2,K155&gt;'マスタ設定'!$S$3),"要トリアージ",""))</f>
        <v/>
      </c>
      <c r="W155" s="11" t="n"/>
      <c r="X155" s="11" t="n"/>
      <c r="Y155" s="11" t="n"/>
      <c r="Z155" s="11">
        <f>IF(Y155="","",TODAY()-Y155)</f>
        <v/>
      </c>
      <c r="AA155" s="11">
        <f>IF(Z155="","",IF(Z155&gt;'マスタ設定'!$S$4,"停滞",""))</f>
        <v/>
      </c>
      <c r="AB155" s="11" t="n"/>
      <c r="AC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>
        <f>IF(OR(H156="",H156=0),"",I156/H156)</f>
        <v/>
      </c>
      <c r="K156" s="11" t="n"/>
      <c r="L156" s="11">
        <f>IF(OR(K156="",K156=0),"",ROUND(I156/K156,1))</f>
        <v/>
      </c>
      <c r="M156" s="11" t="n"/>
      <c r="N156" s="11" t="n"/>
      <c r="O156" s="11" t="n"/>
      <c r="P156" s="11" t="n"/>
      <c r="Q156" s="11" t="n"/>
      <c r="R156" s="11" t="n"/>
      <c r="S156" s="11" t="n"/>
      <c r="T156" s="11">
        <f>IF(COUNT(M156:S156)&lt;7,"",ROUND(SUMPRODUCT(M156:S156,'マスタ設定'!$Q$2:$Q$8)*20,1))</f>
        <v/>
      </c>
      <c r="U156" s="11">
        <f>IF(T156="","",IF(T156&gt;='マスタ設定'!$S$5,"S：経営支援",IF(T156&gt;='マスタ設定'!$S$6,"A：重点",IF(T156&gt;='マスタ設定'!$S$7,"B：標準","C：省力化・撤退検討"))))</f>
        <v/>
      </c>
      <c r="V156" s="11">
        <f>IF(OR(L156="",K156=""),"",IF(AND(L156&lt;'マスタ設定'!$S$2,K156&gt;'マスタ設定'!$S$3),"要トリアージ",""))</f>
        <v/>
      </c>
      <c r="W156" s="11" t="n"/>
      <c r="X156" s="11" t="n"/>
      <c r="Y156" s="11" t="n"/>
      <c r="Z156" s="11">
        <f>IF(Y156="","",TODAY()-Y156)</f>
        <v/>
      </c>
      <c r="AA156" s="11">
        <f>IF(Z156="","",IF(Z156&gt;'マスタ設定'!$S$4,"停滞",""))</f>
        <v/>
      </c>
      <c r="AB156" s="11" t="n"/>
      <c r="AC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>
        <f>IF(OR(H157="",H157=0),"",I157/H157)</f>
        <v/>
      </c>
      <c r="K157" s="11" t="n"/>
      <c r="L157" s="11">
        <f>IF(OR(K157="",K157=0),"",ROUND(I157/K157,1))</f>
        <v/>
      </c>
      <c r="M157" s="11" t="n"/>
      <c r="N157" s="11" t="n"/>
      <c r="O157" s="11" t="n"/>
      <c r="P157" s="11" t="n"/>
      <c r="Q157" s="11" t="n"/>
      <c r="R157" s="11" t="n"/>
      <c r="S157" s="11" t="n"/>
      <c r="T157" s="11">
        <f>IF(COUNT(M157:S157)&lt;7,"",ROUND(SUMPRODUCT(M157:S157,'マスタ設定'!$Q$2:$Q$8)*20,1))</f>
        <v/>
      </c>
      <c r="U157" s="11">
        <f>IF(T157="","",IF(T157&gt;='マスタ設定'!$S$5,"S：経営支援",IF(T157&gt;='マスタ設定'!$S$6,"A：重点",IF(T157&gt;='マスタ設定'!$S$7,"B：標準","C：省力化・撤退検討"))))</f>
        <v/>
      </c>
      <c r="V157" s="11">
        <f>IF(OR(L157="",K157=""),"",IF(AND(L157&lt;'マスタ設定'!$S$2,K157&gt;'マスタ設定'!$S$3),"要トリアージ",""))</f>
        <v/>
      </c>
      <c r="W157" s="11" t="n"/>
      <c r="X157" s="11" t="n"/>
      <c r="Y157" s="11" t="n"/>
      <c r="Z157" s="11">
        <f>IF(Y157="","",TODAY()-Y157)</f>
        <v/>
      </c>
      <c r="AA157" s="11">
        <f>IF(Z157="","",IF(Z157&gt;'マスタ設定'!$S$4,"停滞",""))</f>
        <v/>
      </c>
      <c r="AB157" s="11" t="n"/>
      <c r="AC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>
        <f>IF(OR(H158="",H158=0),"",I158/H158)</f>
        <v/>
      </c>
      <c r="K158" s="11" t="n"/>
      <c r="L158" s="11">
        <f>IF(OR(K158="",K158=0),"",ROUND(I158/K158,1))</f>
        <v/>
      </c>
      <c r="M158" s="11" t="n"/>
      <c r="N158" s="11" t="n"/>
      <c r="O158" s="11" t="n"/>
      <c r="P158" s="11" t="n"/>
      <c r="Q158" s="11" t="n"/>
      <c r="R158" s="11" t="n"/>
      <c r="S158" s="11" t="n"/>
      <c r="T158" s="11">
        <f>IF(COUNT(M158:S158)&lt;7,"",ROUND(SUMPRODUCT(M158:S158,'マスタ設定'!$Q$2:$Q$8)*20,1))</f>
        <v/>
      </c>
      <c r="U158" s="11">
        <f>IF(T158="","",IF(T158&gt;='マスタ設定'!$S$5,"S：経営支援",IF(T158&gt;='マスタ設定'!$S$6,"A：重点",IF(T158&gt;='マスタ設定'!$S$7,"B：標準","C：省力化・撤退検討"))))</f>
        <v/>
      </c>
      <c r="V158" s="11">
        <f>IF(OR(L158="",K158=""),"",IF(AND(L158&lt;'マスタ設定'!$S$2,K158&gt;'マスタ設定'!$S$3),"要トリアージ",""))</f>
        <v/>
      </c>
      <c r="W158" s="11" t="n"/>
      <c r="X158" s="11" t="n"/>
      <c r="Y158" s="11" t="n"/>
      <c r="Z158" s="11">
        <f>IF(Y158="","",TODAY()-Y158)</f>
        <v/>
      </c>
      <c r="AA158" s="11">
        <f>IF(Z158="","",IF(Z158&gt;'マスタ設定'!$S$4,"停滞",""))</f>
        <v/>
      </c>
      <c r="AB158" s="11" t="n"/>
      <c r="AC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>
        <f>IF(OR(H159="",H159=0),"",I159/H159)</f>
        <v/>
      </c>
      <c r="K159" s="11" t="n"/>
      <c r="L159" s="11">
        <f>IF(OR(K159="",K159=0),"",ROUND(I159/K159,1))</f>
        <v/>
      </c>
      <c r="M159" s="11" t="n"/>
      <c r="N159" s="11" t="n"/>
      <c r="O159" s="11" t="n"/>
      <c r="P159" s="11" t="n"/>
      <c r="Q159" s="11" t="n"/>
      <c r="R159" s="11" t="n"/>
      <c r="S159" s="11" t="n"/>
      <c r="T159" s="11">
        <f>IF(COUNT(M159:S159)&lt;7,"",ROUND(SUMPRODUCT(M159:S159,'マスタ設定'!$Q$2:$Q$8)*20,1))</f>
        <v/>
      </c>
      <c r="U159" s="11">
        <f>IF(T159="","",IF(T159&gt;='マスタ設定'!$S$5,"S：経営支援",IF(T159&gt;='マスタ設定'!$S$6,"A：重点",IF(T159&gt;='マスタ設定'!$S$7,"B：標準","C：省力化・撤退検討"))))</f>
        <v/>
      </c>
      <c r="V159" s="11">
        <f>IF(OR(L159="",K159=""),"",IF(AND(L159&lt;'マスタ設定'!$S$2,K159&gt;'マスタ設定'!$S$3),"要トリアージ",""))</f>
        <v/>
      </c>
      <c r="W159" s="11" t="n"/>
      <c r="X159" s="11" t="n"/>
      <c r="Y159" s="11" t="n"/>
      <c r="Z159" s="11">
        <f>IF(Y159="","",TODAY()-Y159)</f>
        <v/>
      </c>
      <c r="AA159" s="11">
        <f>IF(Z159="","",IF(Z159&gt;'マスタ設定'!$S$4,"停滞",""))</f>
        <v/>
      </c>
      <c r="AB159" s="11" t="n"/>
      <c r="AC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>
        <f>IF(OR(H160="",H160=0),"",I160/H160)</f>
        <v/>
      </c>
      <c r="K160" s="11" t="n"/>
      <c r="L160" s="11">
        <f>IF(OR(K160="",K160=0),"",ROUND(I160/K160,1))</f>
        <v/>
      </c>
      <c r="M160" s="11" t="n"/>
      <c r="N160" s="11" t="n"/>
      <c r="O160" s="11" t="n"/>
      <c r="P160" s="11" t="n"/>
      <c r="Q160" s="11" t="n"/>
      <c r="R160" s="11" t="n"/>
      <c r="S160" s="11" t="n"/>
      <c r="T160" s="11">
        <f>IF(COUNT(M160:S160)&lt;7,"",ROUND(SUMPRODUCT(M160:S160,'マスタ設定'!$Q$2:$Q$8)*20,1))</f>
        <v/>
      </c>
      <c r="U160" s="11">
        <f>IF(T160="","",IF(T160&gt;='マスタ設定'!$S$5,"S：経営支援",IF(T160&gt;='マスタ設定'!$S$6,"A：重点",IF(T160&gt;='マスタ設定'!$S$7,"B：標準","C：省力化・撤退検討"))))</f>
        <v/>
      </c>
      <c r="V160" s="11">
        <f>IF(OR(L160="",K160=""),"",IF(AND(L160&lt;'マスタ設定'!$S$2,K160&gt;'マスタ設定'!$S$3),"要トリアージ",""))</f>
        <v/>
      </c>
      <c r="W160" s="11" t="n"/>
      <c r="X160" s="11" t="n"/>
      <c r="Y160" s="11" t="n"/>
      <c r="Z160" s="11">
        <f>IF(Y160="","",TODAY()-Y160)</f>
        <v/>
      </c>
      <c r="AA160" s="11">
        <f>IF(Z160="","",IF(Z160&gt;'マスタ設定'!$S$4,"停滞",""))</f>
        <v/>
      </c>
      <c r="AB160" s="11" t="n"/>
      <c r="AC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>
        <f>IF(OR(H161="",H161=0),"",I161/H161)</f>
        <v/>
      </c>
      <c r="K161" s="11" t="n"/>
      <c r="L161" s="11">
        <f>IF(OR(K161="",K161=0),"",ROUND(I161/K161,1))</f>
        <v/>
      </c>
      <c r="M161" s="11" t="n"/>
      <c r="N161" s="11" t="n"/>
      <c r="O161" s="11" t="n"/>
      <c r="P161" s="11" t="n"/>
      <c r="Q161" s="11" t="n"/>
      <c r="R161" s="11" t="n"/>
      <c r="S161" s="11" t="n"/>
      <c r="T161" s="11">
        <f>IF(COUNT(M161:S161)&lt;7,"",ROUND(SUMPRODUCT(M161:S161,'マスタ設定'!$Q$2:$Q$8)*20,1))</f>
        <v/>
      </c>
      <c r="U161" s="11">
        <f>IF(T161="","",IF(T161&gt;='マスタ設定'!$S$5,"S：経営支援",IF(T161&gt;='マスタ設定'!$S$6,"A：重点",IF(T161&gt;='マスタ設定'!$S$7,"B：標準","C：省力化・撤退検討"))))</f>
        <v/>
      </c>
      <c r="V161" s="11">
        <f>IF(OR(L161="",K161=""),"",IF(AND(L161&lt;'マスタ設定'!$S$2,K161&gt;'マスタ設定'!$S$3),"要トリアージ",""))</f>
        <v/>
      </c>
      <c r="W161" s="11" t="n"/>
      <c r="X161" s="11" t="n"/>
      <c r="Y161" s="11" t="n"/>
      <c r="Z161" s="11">
        <f>IF(Y161="","",TODAY()-Y161)</f>
        <v/>
      </c>
      <c r="AA161" s="11">
        <f>IF(Z161="","",IF(Z161&gt;'マスタ設定'!$S$4,"停滞",""))</f>
        <v/>
      </c>
      <c r="AB161" s="11" t="n"/>
      <c r="AC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>
        <f>IF(OR(H162="",H162=0),"",I162/H162)</f>
        <v/>
      </c>
      <c r="K162" s="11" t="n"/>
      <c r="L162" s="11">
        <f>IF(OR(K162="",K162=0),"",ROUND(I162/K162,1))</f>
        <v/>
      </c>
      <c r="M162" s="11" t="n"/>
      <c r="N162" s="11" t="n"/>
      <c r="O162" s="11" t="n"/>
      <c r="P162" s="11" t="n"/>
      <c r="Q162" s="11" t="n"/>
      <c r="R162" s="11" t="n"/>
      <c r="S162" s="11" t="n"/>
      <c r="T162" s="11">
        <f>IF(COUNT(M162:S162)&lt;7,"",ROUND(SUMPRODUCT(M162:S162,'マスタ設定'!$Q$2:$Q$8)*20,1))</f>
        <v/>
      </c>
      <c r="U162" s="11">
        <f>IF(T162="","",IF(T162&gt;='マスタ設定'!$S$5,"S：経営支援",IF(T162&gt;='マスタ設定'!$S$6,"A：重点",IF(T162&gt;='マスタ設定'!$S$7,"B：標準","C：省力化・撤退検討"))))</f>
        <v/>
      </c>
      <c r="V162" s="11">
        <f>IF(OR(L162="",K162=""),"",IF(AND(L162&lt;'マスタ設定'!$S$2,K162&gt;'マスタ設定'!$S$3),"要トリアージ",""))</f>
        <v/>
      </c>
      <c r="W162" s="11" t="n"/>
      <c r="X162" s="11" t="n"/>
      <c r="Y162" s="11" t="n"/>
      <c r="Z162" s="11">
        <f>IF(Y162="","",TODAY()-Y162)</f>
        <v/>
      </c>
      <c r="AA162" s="11">
        <f>IF(Z162="","",IF(Z162&gt;'マスタ設定'!$S$4,"停滞",""))</f>
        <v/>
      </c>
      <c r="AB162" s="11" t="n"/>
      <c r="AC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>
        <f>IF(OR(H163="",H163=0),"",I163/H163)</f>
        <v/>
      </c>
      <c r="K163" s="11" t="n"/>
      <c r="L163" s="11">
        <f>IF(OR(K163="",K163=0),"",ROUND(I163/K163,1))</f>
        <v/>
      </c>
      <c r="M163" s="11" t="n"/>
      <c r="N163" s="11" t="n"/>
      <c r="O163" s="11" t="n"/>
      <c r="P163" s="11" t="n"/>
      <c r="Q163" s="11" t="n"/>
      <c r="R163" s="11" t="n"/>
      <c r="S163" s="11" t="n"/>
      <c r="T163" s="11">
        <f>IF(COUNT(M163:S163)&lt;7,"",ROUND(SUMPRODUCT(M163:S163,'マスタ設定'!$Q$2:$Q$8)*20,1))</f>
        <v/>
      </c>
      <c r="U163" s="11">
        <f>IF(T163="","",IF(T163&gt;='マスタ設定'!$S$5,"S：経営支援",IF(T163&gt;='マスタ設定'!$S$6,"A：重点",IF(T163&gt;='マスタ設定'!$S$7,"B：標準","C：省力化・撤退検討"))))</f>
        <v/>
      </c>
      <c r="V163" s="11">
        <f>IF(OR(L163="",K163=""),"",IF(AND(L163&lt;'マスタ設定'!$S$2,K163&gt;'マスタ設定'!$S$3),"要トリアージ",""))</f>
        <v/>
      </c>
      <c r="W163" s="11" t="n"/>
      <c r="X163" s="11" t="n"/>
      <c r="Y163" s="11" t="n"/>
      <c r="Z163" s="11">
        <f>IF(Y163="","",TODAY()-Y163)</f>
        <v/>
      </c>
      <c r="AA163" s="11">
        <f>IF(Z163="","",IF(Z163&gt;'マスタ設定'!$S$4,"停滞",""))</f>
        <v/>
      </c>
      <c r="AB163" s="11" t="n"/>
      <c r="AC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>
        <f>IF(OR(H164="",H164=0),"",I164/H164)</f>
        <v/>
      </c>
      <c r="K164" s="11" t="n"/>
      <c r="L164" s="11">
        <f>IF(OR(K164="",K164=0),"",ROUND(I164/K164,1))</f>
        <v/>
      </c>
      <c r="M164" s="11" t="n"/>
      <c r="N164" s="11" t="n"/>
      <c r="O164" s="11" t="n"/>
      <c r="P164" s="11" t="n"/>
      <c r="Q164" s="11" t="n"/>
      <c r="R164" s="11" t="n"/>
      <c r="S164" s="11" t="n"/>
      <c r="T164" s="11">
        <f>IF(COUNT(M164:S164)&lt;7,"",ROUND(SUMPRODUCT(M164:S164,'マスタ設定'!$Q$2:$Q$8)*20,1))</f>
        <v/>
      </c>
      <c r="U164" s="11">
        <f>IF(T164="","",IF(T164&gt;='マスタ設定'!$S$5,"S：経営支援",IF(T164&gt;='マスタ設定'!$S$6,"A：重点",IF(T164&gt;='マスタ設定'!$S$7,"B：標準","C：省力化・撤退検討"))))</f>
        <v/>
      </c>
      <c r="V164" s="11">
        <f>IF(OR(L164="",K164=""),"",IF(AND(L164&lt;'マスタ設定'!$S$2,K164&gt;'マスタ設定'!$S$3),"要トリアージ",""))</f>
        <v/>
      </c>
      <c r="W164" s="11" t="n"/>
      <c r="X164" s="11" t="n"/>
      <c r="Y164" s="11" t="n"/>
      <c r="Z164" s="11">
        <f>IF(Y164="","",TODAY()-Y164)</f>
        <v/>
      </c>
      <c r="AA164" s="11">
        <f>IF(Z164="","",IF(Z164&gt;'マスタ設定'!$S$4,"停滞",""))</f>
        <v/>
      </c>
      <c r="AB164" s="11" t="n"/>
      <c r="AC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>
        <f>IF(OR(H165="",H165=0),"",I165/H165)</f>
        <v/>
      </c>
      <c r="K165" s="11" t="n"/>
      <c r="L165" s="11">
        <f>IF(OR(K165="",K165=0),"",ROUND(I165/K165,1))</f>
        <v/>
      </c>
      <c r="M165" s="11" t="n"/>
      <c r="N165" s="11" t="n"/>
      <c r="O165" s="11" t="n"/>
      <c r="P165" s="11" t="n"/>
      <c r="Q165" s="11" t="n"/>
      <c r="R165" s="11" t="n"/>
      <c r="S165" s="11" t="n"/>
      <c r="T165" s="11">
        <f>IF(COUNT(M165:S165)&lt;7,"",ROUND(SUMPRODUCT(M165:S165,'マスタ設定'!$Q$2:$Q$8)*20,1))</f>
        <v/>
      </c>
      <c r="U165" s="11">
        <f>IF(T165="","",IF(T165&gt;='マスタ設定'!$S$5,"S：経営支援",IF(T165&gt;='マスタ設定'!$S$6,"A：重点",IF(T165&gt;='マスタ設定'!$S$7,"B：標準","C：省力化・撤退検討"))))</f>
        <v/>
      </c>
      <c r="V165" s="11">
        <f>IF(OR(L165="",K165=""),"",IF(AND(L165&lt;'マスタ設定'!$S$2,K165&gt;'マスタ設定'!$S$3),"要トリアージ",""))</f>
        <v/>
      </c>
      <c r="W165" s="11" t="n"/>
      <c r="X165" s="11" t="n"/>
      <c r="Y165" s="11" t="n"/>
      <c r="Z165" s="11">
        <f>IF(Y165="","",TODAY()-Y165)</f>
        <v/>
      </c>
      <c r="AA165" s="11">
        <f>IF(Z165="","",IF(Z165&gt;'マスタ設定'!$S$4,"停滞",""))</f>
        <v/>
      </c>
      <c r="AB165" s="11" t="n"/>
      <c r="AC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>
        <f>IF(OR(H166="",H166=0),"",I166/H166)</f>
        <v/>
      </c>
      <c r="K166" s="11" t="n"/>
      <c r="L166" s="11">
        <f>IF(OR(K166="",K166=0),"",ROUND(I166/K166,1))</f>
        <v/>
      </c>
      <c r="M166" s="11" t="n"/>
      <c r="N166" s="11" t="n"/>
      <c r="O166" s="11" t="n"/>
      <c r="P166" s="11" t="n"/>
      <c r="Q166" s="11" t="n"/>
      <c r="R166" s="11" t="n"/>
      <c r="S166" s="11" t="n"/>
      <c r="T166" s="11">
        <f>IF(COUNT(M166:S166)&lt;7,"",ROUND(SUMPRODUCT(M166:S166,'マスタ設定'!$Q$2:$Q$8)*20,1))</f>
        <v/>
      </c>
      <c r="U166" s="11">
        <f>IF(T166="","",IF(T166&gt;='マスタ設定'!$S$5,"S：経営支援",IF(T166&gt;='マスタ設定'!$S$6,"A：重点",IF(T166&gt;='マスタ設定'!$S$7,"B：標準","C：省力化・撤退検討"))))</f>
        <v/>
      </c>
      <c r="V166" s="11">
        <f>IF(OR(L166="",K166=""),"",IF(AND(L166&lt;'マスタ設定'!$S$2,K166&gt;'マスタ設定'!$S$3),"要トリアージ",""))</f>
        <v/>
      </c>
      <c r="W166" s="11" t="n"/>
      <c r="X166" s="11" t="n"/>
      <c r="Y166" s="11" t="n"/>
      <c r="Z166" s="11">
        <f>IF(Y166="","",TODAY()-Y166)</f>
        <v/>
      </c>
      <c r="AA166" s="11">
        <f>IF(Z166="","",IF(Z166&gt;'マスタ設定'!$S$4,"停滞",""))</f>
        <v/>
      </c>
      <c r="AB166" s="11" t="n"/>
      <c r="AC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>
        <f>IF(OR(H167="",H167=0),"",I167/H167)</f>
        <v/>
      </c>
      <c r="K167" s="11" t="n"/>
      <c r="L167" s="11">
        <f>IF(OR(K167="",K167=0),"",ROUND(I167/K167,1))</f>
        <v/>
      </c>
      <c r="M167" s="11" t="n"/>
      <c r="N167" s="11" t="n"/>
      <c r="O167" s="11" t="n"/>
      <c r="P167" s="11" t="n"/>
      <c r="Q167" s="11" t="n"/>
      <c r="R167" s="11" t="n"/>
      <c r="S167" s="11" t="n"/>
      <c r="T167" s="11">
        <f>IF(COUNT(M167:S167)&lt;7,"",ROUND(SUMPRODUCT(M167:S167,'マスタ設定'!$Q$2:$Q$8)*20,1))</f>
        <v/>
      </c>
      <c r="U167" s="11">
        <f>IF(T167="","",IF(T167&gt;='マスタ設定'!$S$5,"S：経営支援",IF(T167&gt;='マスタ設定'!$S$6,"A：重点",IF(T167&gt;='マスタ設定'!$S$7,"B：標準","C：省力化・撤退検討"))))</f>
        <v/>
      </c>
      <c r="V167" s="11">
        <f>IF(OR(L167="",K167=""),"",IF(AND(L167&lt;'マスタ設定'!$S$2,K167&gt;'マスタ設定'!$S$3),"要トリアージ",""))</f>
        <v/>
      </c>
      <c r="W167" s="11" t="n"/>
      <c r="X167" s="11" t="n"/>
      <c r="Y167" s="11" t="n"/>
      <c r="Z167" s="11">
        <f>IF(Y167="","",TODAY()-Y167)</f>
        <v/>
      </c>
      <c r="AA167" s="11">
        <f>IF(Z167="","",IF(Z167&gt;'マスタ設定'!$S$4,"停滞",""))</f>
        <v/>
      </c>
      <c r="AB167" s="11" t="n"/>
      <c r="AC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>
        <f>IF(OR(H168="",H168=0),"",I168/H168)</f>
        <v/>
      </c>
      <c r="K168" s="11" t="n"/>
      <c r="L168" s="11">
        <f>IF(OR(K168="",K168=0),"",ROUND(I168/K168,1))</f>
        <v/>
      </c>
      <c r="M168" s="11" t="n"/>
      <c r="N168" s="11" t="n"/>
      <c r="O168" s="11" t="n"/>
      <c r="P168" s="11" t="n"/>
      <c r="Q168" s="11" t="n"/>
      <c r="R168" s="11" t="n"/>
      <c r="S168" s="11" t="n"/>
      <c r="T168" s="11">
        <f>IF(COUNT(M168:S168)&lt;7,"",ROUND(SUMPRODUCT(M168:S168,'マスタ設定'!$Q$2:$Q$8)*20,1))</f>
        <v/>
      </c>
      <c r="U168" s="11">
        <f>IF(T168="","",IF(T168&gt;='マスタ設定'!$S$5,"S：経営支援",IF(T168&gt;='マスタ設定'!$S$6,"A：重点",IF(T168&gt;='マスタ設定'!$S$7,"B：標準","C：省力化・撤退検討"))))</f>
        <v/>
      </c>
      <c r="V168" s="11">
        <f>IF(OR(L168="",K168=""),"",IF(AND(L168&lt;'マスタ設定'!$S$2,K168&gt;'マスタ設定'!$S$3),"要トリアージ",""))</f>
        <v/>
      </c>
      <c r="W168" s="11" t="n"/>
      <c r="X168" s="11" t="n"/>
      <c r="Y168" s="11" t="n"/>
      <c r="Z168" s="11">
        <f>IF(Y168="","",TODAY()-Y168)</f>
        <v/>
      </c>
      <c r="AA168" s="11">
        <f>IF(Z168="","",IF(Z168&gt;'マスタ設定'!$S$4,"停滞",""))</f>
        <v/>
      </c>
      <c r="AB168" s="11" t="n"/>
      <c r="AC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>
        <f>IF(OR(H169="",H169=0),"",I169/H169)</f>
        <v/>
      </c>
      <c r="K169" s="11" t="n"/>
      <c r="L169" s="11">
        <f>IF(OR(K169="",K169=0),"",ROUND(I169/K169,1))</f>
        <v/>
      </c>
      <c r="M169" s="11" t="n"/>
      <c r="N169" s="11" t="n"/>
      <c r="O169" s="11" t="n"/>
      <c r="P169" s="11" t="n"/>
      <c r="Q169" s="11" t="n"/>
      <c r="R169" s="11" t="n"/>
      <c r="S169" s="11" t="n"/>
      <c r="T169" s="11">
        <f>IF(COUNT(M169:S169)&lt;7,"",ROUND(SUMPRODUCT(M169:S169,'マスタ設定'!$Q$2:$Q$8)*20,1))</f>
        <v/>
      </c>
      <c r="U169" s="11">
        <f>IF(T169="","",IF(T169&gt;='マスタ設定'!$S$5,"S：経営支援",IF(T169&gt;='マスタ設定'!$S$6,"A：重点",IF(T169&gt;='マスタ設定'!$S$7,"B：標準","C：省力化・撤退検討"))))</f>
        <v/>
      </c>
      <c r="V169" s="11">
        <f>IF(OR(L169="",K169=""),"",IF(AND(L169&lt;'マスタ設定'!$S$2,K169&gt;'マスタ設定'!$S$3),"要トリアージ",""))</f>
        <v/>
      </c>
      <c r="W169" s="11" t="n"/>
      <c r="X169" s="11" t="n"/>
      <c r="Y169" s="11" t="n"/>
      <c r="Z169" s="11">
        <f>IF(Y169="","",TODAY()-Y169)</f>
        <v/>
      </c>
      <c r="AA169" s="11">
        <f>IF(Z169="","",IF(Z169&gt;'マスタ設定'!$S$4,"停滞",""))</f>
        <v/>
      </c>
      <c r="AB169" s="11" t="n"/>
      <c r="AC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>
        <f>IF(OR(H170="",H170=0),"",I170/H170)</f>
        <v/>
      </c>
      <c r="K170" s="11" t="n"/>
      <c r="L170" s="11">
        <f>IF(OR(K170="",K170=0),"",ROUND(I170/K170,1))</f>
        <v/>
      </c>
      <c r="M170" s="11" t="n"/>
      <c r="N170" s="11" t="n"/>
      <c r="O170" s="11" t="n"/>
      <c r="P170" s="11" t="n"/>
      <c r="Q170" s="11" t="n"/>
      <c r="R170" s="11" t="n"/>
      <c r="S170" s="11" t="n"/>
      <c r="T170" s="11">
        <f>IF(COUNT(M170:S170)&lt;7,"",ROUND(SUMPRODUCT(M170:S170,'マスタ設定'!$Q$2:$Q$8)*20,1))</f>
        <v/>
      </c>
      <c r="U170" s="11">
        <f>IF(T170="","",IF(T170&gt;='マスタ設定'!$S$5,"S：経営支援",IF(T170&gt;='マスタ設定'!$S$6,"A：重点",IF(T170&gt;='マスタ設定'!$S$7,"B：標準","C：省力化・撤退検討"))))</f>
        <v/>
      </c>
      <c r="V170" s="11">
        <f>IF(OR(L170="",K170=""),"",IF(AND(L170&lt;'マスタ設定'!$S$2,K170&gt;'マスタ設定'!$S$3),"要トリアージ",""))</f>
        <v/>
      </c>
      <c r="W170" s="11" t="n"/>
      <c r="X170" s="11" t="n"/>
      <c r="Y170" s="11" t="n"/>
      <c r="Z170" s="11">
        <f>IF(Y170="","",TODAY()-Y170)</f>
        <v/>
      </c>
      <c r="AA170" s="11">
        <f>IF(Z170="","",IF(Z170&gt;'マスタ設定'!$S$4,"停滞",""))</f>
        <v/>
      </c>
      <c r="AB170" s="11" t="n"/>
      <c r="AC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>
        <f>IF(OR(H171="",H171=0),"",I171/H171)</f>
        <v/>
      </c>
      <c r="K171" s="11" t="n"/>
      <c r="L171" s="11">
        <f>IF(OR(K171="",K171=0),"",ROUND(I171/K171,1))</f>
        <v/>
      </c>
      <c r="M171" s="11" t="n"/>
      <c r="N171" s="11" t="n"/>
      <c r="O171" s="11" t="n"/>
      <c r="P171" s="11" t="n"/>
      <c r="Q171" s="11" t="n"/>
      <c r="R171" s="11" t="n"/>
      <c r="S171" s="11" t="n"/>
      <c r="T171" s="11">
        <f>IF(COUNT(M171:S171)&lt;7,"",ROUND(SUMPRODUCT(M171:S171,'マスタ設定'!$Q$2:$Q$8)*20,1))</f>
        <v/>
      </c>
      <c r="U171" s="11">
        <f>IF(T171="","",IF(T171&gt;='マスタ設定'!$S$5,"S：経営支援",IF(T171&gt;='マスタ設定'!$S$6,"A：重点",IF(T171&gt;='マスタ設定'!$S$7,"B：標準","C：省力化・撤退検討"))))</f>
        <v/>
      </c>
      <c r="V171" s="11">
        <f>IF(OR(L171="",K171=""),"",IF(AND(L171&lt;'マスタ設定'!$S$2,K171&gt;'マスタ設定'!$S$3),"要トリアージ",""))</f>
        <v/>
      </c>
      <c r="W171" s="11" t="n"/>
      <c r="X171" s="11" t="n"/>
      <c r="Y171" s="11" t="n"/>
      <c r="Z171" s="11">
        <f>IF(Y171="","",TODAY()-Y171)</f>
        <v/>
      </c>
      <c r="AA171" s="11">
        <f>IF(Z171="","",IF(Z171&gt;'マスタ設定'!$S$4,"停滞",""))</f>
        <v/>
      </c>
      <c r="AB171" s="11" t="n"/>
      <c r="AC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>
        <f>IF(OR(H172="",H172=0),"",I172/H172)</f>
        <v/>
      </c>
      <c r="K172" s="11" t="n"/>
      <c r="L172" s="11">
        <f>IF(OR(K172="",K172=0),"",ROUND(I172/K172,1))</f>
        <v/>
      </c>
      <c r="M172" s="11" t="n"/>
      <c r="N172" s="11" t="n"/>
      <c r="O172" s="11" t="n"/>
      <c r="P172" s="11" t="n"/>
      <c r="Q172" s="11" t="n"/>
      <c r="R172" s="11" t="n"/>
      <c r="S172" s="11" t="n"/>
      <c r="T172" s="11">
        <f>IF(COUNT(M172:S172)&lt;7,"",ROUND(SUMPRODUCT(M172:S172,'マスタ設定'!$Q$2:$Q$8)*20,1))</f>
        <v/>
      </c>
      <c r="U172" s="11">
        <f>IF(T172="","",IF(T172&gt;='マスタ設定'!$S$5,"S：経営支援",IF(T172&gt;='マスタ設定'!$S$6,"A：重点",IF(T172&gt;='マスタ設定'!$S$7,"B：標準","C：省力化・撤退検討"))))</f>
        <v/>
      </c>
      <c r="V172" s="11">
        <f>IF(OR(L172="",K172=""),"",IF(AND(L172&lt;'マスタ設定'!$S$2,K172&gt;'マスタ設定'!$S$3),"要トリアージ",""))</f>
        <v/>
      </c>
      <c r="W172" s="11" t="n"/>
      <c r="X172" s="11" t="n"/>
      <c r="Y172" s="11" t="n"/>
      <c r="Z172" s="11">
        <f>IF(Y172="","",TODAY()-Y172)</f>
        <v/>
      </c>
      <c r="AA172" s="11">
        <f>IF(Z172="","",IF(Z172&gt;'マスタ設定'!$S$4,"停滞",""))</f>
        <v/>
      </c>
      <c r="AB172" s="11" t="n"/>
      <c r="AC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>
        <f>IF(OR(H173="",H173=0),"",I173/H173)</f>
        <v/>
      </c>
      <c r="K173" s="11" t="n"/>
      <c r="L173" s="11">
        <f>IF(OR(K173="",K173=0),"",ROUND(I173/K173,1))</f>
        <v/>
      </c>
      <c r="M173" s="11" t="n"/>
      <c r="N173" s="11" t="n"/>
      <c r="O173" s="11" t="n"/>
      <c r="P173" s="11" t="n"/>
      <c r="Q173" s="11" t="n"/>
      <c r="R173" s="11" t="n"/>
      <c r="S173" s="11" t="n"/>
      <c r="T173" s="11">
        <f>IF(COUNT(M173:S173)&lt;7,"",ROUND(SUMPRODUCT(M173:S173,'マスタ設定'!$Q$2:$Q$8)*20,1))</f>
        <v/>
      </c>
      <c r="U173" s="11">
        <f>IF(T173="","",IF(T173&gt;='マスタ設定'!$S$5,"S：経営支援",IF(T173&gt;='マスタ設定'!$S$6,"A：重点",IF(T173&gt;='マスタ設定'!$S$7,"B：標準","C：省力化・撤退検討"))))</f>
        <v/>
      </c>
      <c r="V173" s="11">
        <f>IF(OR(L173="",K173=""),"",IF(AND(L173&lt;'マスタ設定'!$S$2,K173&gt;'マスタ設定'!$S$3),"要トリアージ",""))</f>
        <v/>
      </c>
      <c r="W173" s="11" t="n"/>
      <c r="X173" s="11" t="n"/>
      <c r="Y173" s="11" t="n"/>
      <c r="Z173" s="11">
        <f>IF(Y173="","",TODAY()-Y173)</f>
        <v/>
      </c>
      <c r="AA173" s="11">
        <f>IF(Z173="","",IF(Z173&gt;'マスタ設定'!$S$4,"停滞",""))</f>
        <v/>
      </c>
      <c r="AB173" s="11" t="n"/>
      <c r="AC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>
        <f>IF(OR(H174="",H174=0),"",I174/H174)</f>
        <v/>
      </c>
      <c r="K174" s="11" t="n"/>
      <c r="L174" s="11">
        <f>IF(OR(K174="",K174=0),"",ROUND(I174/K174,1))</f>
        <v/>
      </c>
      <c r="M174" s="11" t="n"/>
      <c r="N174" s="11" t="n"/>
      <c r="O174" s="11" t="n"/>
      <c r="P174" s="11" t="n"/>
      <c r="Q174" s="11" t="n"/>
      <c r="R174" s="11" t="n"/>
      <c r="S174" s="11" t="n"/>
      <c r="T174" s="11">
        <f>IF(COUNT(M174:S174)&lt;7,"",ROUND(SUMPRODUCT(M174:S174,'マスタ設定'!$Q$2:$Q$8)*20,1))</f>
        <v/>
      </c>
      <c r="U174" s="11">
        <f>IF(T174="","",IF(T174&gt;='マスタ設定'!$S$5,"S：経営支援",IF(T174&gt;='マスタ設定'!$S$6,"A：重点",IF(T174&gt;='マスタ設定'!$S$7,"B：標準","C：省力化・撤退検討"))))</f>
        <v/>
      </c>
      <c r="V174" s="11">
        <f>IF(OR(L174="",K174=""),"",IF(AND(L174&lt;'マスタ設定'!$S$2,K174&gt;'マスタ設定'!$S$3),"要トリアージ",""))</f>
        <v/>
      </c>
      <c r="W174" s="11" t="n"/>
      <c r="X174" s="11" t="n"/>
      <c r="Y174" s="11" t="n"/>
      <c r="Z174" s="11">
        <f>IF(Y174="","",TODAY()-Y174)</f>
        <v/>
      </c>
      <c r="AA174" s="11">
        <f>IF(Z174="","",IF(Z174&gt;'マスタ設定'!$S$4,"停滞",""))</f>
        <v/>
      </c>
      <c r="AB174" s="11" t="n"/>
      <c r="AC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>
        <f>IF(OR(H175="",H175=0),"",I175/H175)</f>
        <v/>
      </c>
      <c r="K175" s="11" t="n"/>
      <c r="L175" s="11">
        <f>IF(OR(K175="",K175=0),"",ROUND(I175/K175,1))</f>
        <v/>
      </c>
      <c r="M175" s="11" t="n"/>
      <c r="N175" s="11" t="n"/>
      <c r="O175" s="11" t="n"/>
      <c r="P175" s="11" t="n"/>
      <c r="Q175" s="11" t="n"/>
      <c r="R175" s="11" t="n"/>
      <c r="S175" s="11" t="n"/>
      <c r="T175" s="11">
        <f>IF(COUNT(M175:S175)&lt;7,"",ROUND(SUMPRODUCT(M175:S175,'マスタ設定'!$Q$2:$Q$8)*20,1))</f>
        <v/>
      </c>
      <c r="U175" s="11">
        <f>IF(T175="","",IF(T175&gt;='マスタ設定'!$S$5,"S：経営支援",IF(T175&gt;='マスタ設定'!$S$6,"A：重点",IF(T175&gt;='マスタ設定'!$S$7,"B：標準","C：省力化・撤退検討"))))</f>
        <v/>
      </c>
      <c r="V175" s="11">
        <f>IF(OR(L175="",K175=""),"",IF(AND(L175&lt;'マスタ設定'!$S$2,K175&gt;'マスタ設定'!$S$3),"要トリアージ",""))</f>
        <v/>
      </c>
      <c r="W175" s="11" t="n"/>
      <c r="X175" s="11" t="n"/>
      <c r="Y175" s="11" t="n"/>
      <c r="Z175" s="11">
        <f>IF(Y175="","",TODAY()-Y175)</f>
        <v/>
      </c>
      <c r="AA175" s="11">
        <f>IF(Z175="","",IF(Z175&gt;'マスタ設定'!$S$4,"停滞",""))</f>
        <v/>
      </c>
      <c r="AB175" s="11" t="n"/>
      <c r="AC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>
        <f>IF(OR(H176="",H176=0),"",I176/H176)</f>
        <v/>
      </c>
      <c r="K176" s="11" t="n"/>
      <c r="L176" s="11">
        <f>IF(OR(K176="",K176=0),"",ROUND(I176/K176,1))</f>
        <v/>
      </c>
      <c r="M176" s="11" t="n"/>
      <c r="N176" s="11" t="n"/>
      <c r="O176" s="11" t="n"/>
      <c r="P176" s="11" t="n"/>
      <c r="Q176" s="11" t="n"/>
      <c r="R176" s="11" t="n"/>
      <c r="S176" s="11" t="n"/>
      <c r="T176" s="11">
        <f>IF(COUNT(M176:S176)&lt;7,"",ROUND(SUMPRODUCT(M176:S176,'マスタ設定'!$Q$2:$Q$8)*20,1))</f>
        <v/>
      </c>
      <c r="U176" s="11">
        <f>IF(T176="","",IF(T176&gt;='マスタ設定'!$S$5,"S：経営支援",IF(T176&gt;='マスタ設定'!$S$6,"A：重点",IF(T176&gt;='マスタ設定'!$S$7,"B：標準","C：省力化・撤退検討"))))</f>
        <v/>
      </c>
      <c r="V176" s="11">
        <f>IF(OR(L176="",K176=""),"",IF(AND(L176&lt;'マスタ設定'!$S$2,K176&gt;'マスタ設定'!$S$3),"要トリアージ",""))</f>
        <v/>
      </c>
      <c r="W176" s="11" t="n"/>
      <c r="X176" s="11" t="n"/>
      <c r="Y176" s="11" t="n"/>
      <c r="Z176" s="11">
        <f>IF(Y176="","",TODAY()-Y176)</f>
        <v/>
      </c>
      <c r="AA176" s="11">
        <f>IF(Z176="","",IF(Z176&gt;'マスタ設定'!$S$4,"停滞",""))</f>
        <v/>
      </c>
      <c r="AB176" s="11" t="n"/>
      <c r="AC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>
        <f>IF(OR(H177="",H177=0),"",I177/H177)</f>
        <v/>
      </c>
      <c r="K177" s="11" t="n"/>
      <c r="L177" s="11">
        <f>IF(OR(K177="",K177=0),"",ROUND(I177/K177,1))</f>
        <v/>
      </c>
      <c r="M177" s="11" t="n"/>
      <c r="N177" s="11" t="n"/>
      <c r="O177" s="11" t="n"/>
      <c r="P177" s="11" t="n"/>
      <c r="Q177" s="11" t="n"/>
      <c r="R177" s="11" t="n"/>
      <c r="S177" s="11" t="n"/>
      <c r="T177" s="11">
        <f>IF(COUNT(M177:S177)&lt;7,"",ROUND(SUMPRODUCT(M177:S177,'マスタ設定'!$Q$2:$Q$8)*20,1))</f>
        <v/>
      </c>
      <c r="U177" s="11">
        <f>IF(T177="","",IF(T177&gt;='マスタ設定'!$S$5,"S：経営支援",IF(T177&gt;='マスタ設定'!$S$6,"A：重点",IF(T177&gt;='マスタ設定'!$S$7,"B：標準","C：省力化・撤退検討"))))</f>
        <v/>
      </c>
      <c r="V177" s="11">
        <f>IF(OR(L177="",K177=""),"",IF(AND(L177&lt;'マスタ設定'!$S$2,K177&gt;'マスタ設定'!$S$3),"要トリアージ",""))</f>
        <v/>
      </c>
      <c r="W177" s="11" t="n"/>
      <c r="X177" s="11" t="n"/>
      <c r="Y177" s="11" t="n"/>
      <c r="Z177" s="11">
        <f>IF(Y177="","",TODAY()-Y177)</f>
        <v/>
      </c>
      <c r="AA177" s="11">
        <f>IF(Z177="","",IF(Z177&gt;'マスタ設定'!$S$4,"停滞",""))</f>
        <v/>
      </c>
      <c r="AB177" s="11" t="n"/>
      <c r="AC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>
        <f>IF(OR(H178="",H178=0),"",I178/H178)</f>
        <v/>
      </c>
      <c r="K178" s="11" t="n"/>
      <c r="L178" s="11">
        <f>IF(OR(K178="",K178=0),"",ROUND(I178/K178,1))</f>
        <v/>
      </c>
      <c r="M178" s="11" t="n"/>
      <c r="N178" s="11" t="n"/>
      <c r="O178" s="11" t="n"/>
      <c r="P178" s="11" t="n"/>
      <c r="Q178" s="11" t="n"/>
      <c r="R178" s="11" t="n"/>
      <c r="S178" s="11" t="n"/>
      <c r="T178" s="11">
        <f>IF(COUNT(M178:S178)&lt;7,"",ROUND(SUMPRODUCT(M178:S178,'マスタ設定'!$Q$2:$Q$8)*20,1))</f>
        <v/>
      </c>
      <c r="U178" s="11">
        <f>IF(T178="","",IF(T178&gt;='マスタ設定'!$S$5,"S：経営支援",IF(T178&gt;='マスタ設定'!$S$6,"A：重点",IF(T178&gt;='マスタ設定'!$S$7,"B：標準","C：省力化・撤退検討"))))</f>
        <v/>
      </c>
      <c r="V178" s="11">
        <f>IF(OR(L178="",K178=""),"",IF(AND(L178&lt;'マスタ設定'!$S$2,K178&gt;'マスタ設定'!$S$3),"要トリアージ",""))</f>
        <v/>
      </c>
      <c r="W178" s="11" t="n"/>
      <c r="X178" s="11" t="n"/>
      <c r="Y178" s="11" t="n"/>
      <c r="Z178" s="11">
        <f>IF(Y178="","",TODAY()-Y178)</f>
        <v/>
      </c>
      <c r="AA178" s="11">
        <f>IF(Z178="","",IF(Z178&gt;'マスタ設定'!$S$4,"停滞",""))</f>
        <v/>
      </c>
      <c r="AB178" s="11" t="n"/>
      <c r="AC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>
        <f>IF(OR(H179="",H179=0),"",I179/H179)</f>
        <v/>
      </c>
      <c r="K179" s="11" t="n"/>
      <c r="L179" s="11">
        <f>IF(OR(K179="",K179=0),"",ROUND(I179/K179,1))</f>
        <v/>
      </c>
      <c r="M179" s="11" t="n"/>
      <c r="N179" s="11" t="n"/>
      <c r="O179" s="11" t="n"/>
      <c r="P179" s="11" t="n"/>
      <c r="Q179" s="11" t="n"/>
      <c r="R179" s="11" t="n"/>
      <c r="S179" s="11" t="n"/>
      <c r="T179" s="11">
        <f>IF(COUNT(M179:S179)&lt;7,"",ROUND(SUMPRODUCT(M179:S179,'マスタ設定'!$Q$2:$Q$8)*20,1))</f>
        <v/>
      </c>
      <c r="U179" s="11">
        <f>IF(T179="","",IF(T179&gt;='マスタ設定'!$S$5,"S：経営支援",IF(T179&gt;='マスタ設定'!$S$6,"A：重点",IF(T179&gt;='マスタ設定'!$S$7,"B：標準","C：省力化・撤退検討"))))</f>
        <v/>
      </c>
      <c r="V179" s="11">
        <f>IF(OR(L179="",K179=""),"",IF(AND(L179&lt;'マスタ設定'!$S$2,K179&gt;'マスタ設定'!$S$3),"要トリアージ",""))</f>
        <v/>
      </c>
      <c r="W179" s="11" t="n"/>
      <c r="X179" s="11" t="n"/>
      <c r="Y179" s="11" t="n"/>
      <c r="Z179" s="11">
        <f>IF(Y179="","",TODAY()-Y179)</f>
        <v/>
      </c>
      <c r="AA179" s="11">
        <f>IF(Z179="","",IF(Z179&gt;'マスタ設定'!$S$4,"停滞",""))</f>
        <v/>
      </c>
      <c r="AB179" s="11" t="n"/>
      <c r="AC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>
        <f>IF(OR(H180="",H180=0),"",I180/H180)</f>
        <v/>
      </c>
      <c r="K180" s="11" t="n"/>
      <c r="L180" s="11">
        <f>IF(OR(K180="",K180=0),"",ROUND(I180/K180,1))</f>
        <v/>
      </c>
      <c r="M180" s="11" t="n"/>
      <c r="N180" s="11" t="n"/>
      <c r="O180" s="11" t="n"/>
      <c r="P180" s="11" t="n"/>
      <c r="Q180" s="11" t="n"/>
      <c r="R180" s="11" t="n"/>
      <c r="S180" s="11" t="n"/>
      <c r="T180" s="11">
        <f>IF(COUNT(M180:S180)&lt;7,"",ROUND(SUMPRODUCT(M180:S180,'マスタ設定'!$Q$2:$Q$8)*20,1))</f>
        <v/>
      </c>
      <c r="U180" s="11">
        <f>IF(T180="","",IF(T180&gt;='マスタ設定'!$S$5,"S：経営支援",IF(T180&gt;='マスタ設定'!$S$6,"A：重点",IF(T180&gt;='マスタ設定'!$S$7,"B：標準","C：省力化・撤退検討"))))</f>
        <v/>
      </c>
      <c r="V180" s="11">
        <f>IF(OR(L180="",K180=""),"",IF(AND(L180&lt;'マスタ設定'!$S$2,K180&gt;'マスタ設定'!$S$3),"要トリアージ",""))</f>
        <v/>
      </c>
      <c r="W180" s="11" t="n"/>
      <c r="X180" s="11" t="n"/>
      <c r="Y180" s="11" t="n"/>
      <c r="Z180" s="11">
        <f>IF(Y180="","",TODAY()-Y180)</f>
        <v/>
      </c>
      <c r="AA180" s="11">
        <f>IF(Z180="","",IF(Z180&gt;'マスタ設定'!$S$4,"停滞",""))</f>
        <v/>
      </c>
      <c r="AB180" s="11" t="n"/>
      <c r="AC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>
        <f>IF(OR(H181="",H181=0),"",I181/H181)</f>
        <v/>
      </c>
      <c r="K181" s="11" t="n"/>
      <c r="L181" s="11">
        <f>IF(OR(K181="",K181=0),"",ROUND(I181/K181,1))</f>
        <v/>
      </c>
      <c r="M181" s="11" t="n"/>
      <c r="N181" s="11" t="n"/>
      <c r="O181" s="11" t="n"/>
      <c r="P181" s="11" t="n"/>
      <c r="Q181" s="11" t="n"/>
      <c r="R181" s="11" t="n"/>
      <c r="S181" s="11" t="n"/>
      <c r="T181" s="11">
        <f>IF(COUNT(M181:S181)&lt;7,"",ROUND(SUMPRODUCT(M181:S181,'マスタ設定'!$Q$2:$Q$8)*20,1))</f>
        <v/>
      </c>
      <c r="U181" s="11">
        <f>IF(T181="","",IF(T181&gt;='マスタ設定'!$S$5,"S：経営支援",IF(T181&gt;='マスタ設定'!$S$6,"A：重点",IF(T181&gt;='マスタ設定'!$S$7,"B：標準","C：省力化・撤退検討"))))</f>
        <v/>
      </c>
      <c r="V181" s="11">
        <f>IF(OR(L181="",K181=""),"",IF(AND(L181&lt;'マスタ設定'!$S$2,K181&gt;'マスタ設定'!$S$3),"要トリアージ",""))</f>
        <v/>
      </c>
      <c r="W181" s="11" t="n"/>
      <c r="X181" s="11" t="n"/>
      <c r="Y181" s="11" t="n"/>
      <c r="Z181" s="11">
        <f>IF(Y181="","",TODAY()-Y181)</f>
        <v/>
      </c>
      <c r="AA181" s="11">
        <f>IF(Z181="","",IF(Z181&gt;'マスタ設定'!$S$4,"停滞",""))</f>
        <v/>
      </c>
      <c r="AB181" s="11" t="n"/>
      <c r="AC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>
        <f>IF(OR(H182="",H182=0),"",I182/H182)</f>
        <v/>
      </c>
      <c r="K182" s="11" t="n"/>
      <c r="L182" s="11">
        <f>IF(OR(K182="",K182=0),"",ROUND(I182/K182,1))</f>
        <v/>
      </c>
      <c r="M182" s="11" t="n"/>
      <c r="N182" s="11" t="n"/>
      <c r="O182" s="11" t="n"/>
      <c r="P182" s="11" t="n"/>
      <c r="Q182" s="11" t="n"/>
      <c r="R182" s="11" t="n"/>
      <c r="S182" s="11" t="n"/>
      <c r="T182" s="11">
        <f>IF(COUNT(M182:S182)&lt;7,"",ROUND(SUMPRODUCT(M182:S182,'マスタ設定'!$Q$2:$Q$8)*20,1))</f>
        <v/>
      </c>
      <c r="U182" s="11">
        <f>IF(T182="","",IF(T182&gt;='マスタ設定'!$S$5,"S：経営支援",IF(T182&gt;='マスタ設定'!$S$6,"A：重点",IF(T182&gt;='マスタ設定'!$S$7,"B：標準","C：省力化・撤退検討"))))</f>
        <v/>
      </c>
      <c r="V182" s="11">
        <f>IF(OR(L182="",K182=""),"",IF(AND(L182&lt;'マスタ設定'!$S$2,K182&gt;'マスタ設定'!$S$3),"要トリアージ",""))</f>
        <v/>
      </c>
      <c r="W182" s="11" t="n"/>
      <c r="X182" s="11" t="n"/>
      <c r="Y182" s="11" t="n"/>
      <c r="Z182" s="11">
        <f>IF(Y182="","",TODAY()-Y182)</f>
        <v/>
      </c>
      <c r="AA182" s="11">
        <f>IF(Z182="","",IF(Z182&gt;'マスタ設定'!$S$4,"停滞",""))</f>
        <v/>
      </c>
      <c r="AB182" s="11" t="n"/>
      <c r="AC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>
        <f>IF(OR(H183="",H183=0),"",I183/H183)</f>
        <v/>
      </c>
      <c r="K183" s="11" t="n"/>
      <c r="L183" s="11">
        <f>IF(OR(K183="",K183=0),"",ROUND(I183/K183,1))</f>
        <v/>
      </c>
      <c r="M183" s="11" t="n"/>
      <c r="N183" s="11" t="n"/>
      <c r="O183" s="11" t="n"/>
      <c r="P183" s="11" t="n"/>
      <c r="Q183" s="11" t="n"/>
      <c r="R183" s="11" t="n"/>
      <c r="S183" s="11" t="n"/>
      <c r="T183" s="11">
        <f>IF(COUNT(M183:S183)&lt;7,"",ROUND(SUMPRODUCT(M183:S183,'マスタ設定'!$Q$2:$Q$8)*20,1))</f>
        <v/>
      </c>
      <c r="U183" s="11">
        <f>IF(T183="","",IF(T183&gt;='マスタ設定'!$S$5,"S：経営支援",IF(T183&gt;='マスタ設定'!$S$6,"A：重点",IF(T183&gt;='マスタ設定'!$S$7,"B：標準","C：省力化・撤退検討"))))</f>
        <v/>
      </c>
      <c r="V183" s="11">
        <f>IF(OR(L183="",K183=""),"",IF(AND(L183&lt;'マスタ設定'!$S$2,K183&gt;'マスタ設定'!$S$3),"要トリアージ",""))</f>
        <v/>
      </c>
      <c r="W183" s="11" t="n"/>
      <c r="X183" s="11" t="n"/>
      <c r="Y183" s="11" t="n"/>
      <c r="Z183" s="11">
        <f>IF(Y183="","",TODAY()-Y183)</f>
        <v/>
      </c>
      <c r="AA183" s="11">
        <f>IF(Z183="","",IF(Z183&gt;'マスタ設定'!$S$4,"停滞",""))</f>
        <v/>
      </c>
      <c r="AB183" s="11" t="n"/>
      <c r="AC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>
        <f>IF(OR(H184="",H184=0),"",I184/H184)</f>
        <v/>
      </c>
      <c r="K184" s="11" t="n"/>
      <c r="L184" s="11">
        <f>IF(OR(K184="",K184=0),"",ROUND(I184/K184,1))</f>
        <v/>
      </c>
      <c r="M184" s="11" t="n"/>
      <c r="N184" s="11" t="n"/>
      <c r="O184" s="11" t="n"/>
      <c r="P184" s="11" t="n"/>
      <c r="Q184" s="11" t="n"/>
      <c r="R184" s="11" t="n"/>
      <c r="S184" s="11" t="n"/>
      <c r="T184" s="11">
        <f>IF(COUNT(M184:S184)&lt;7,"",ROUND(SUMPRODUCT(M184:S184,'マスタ設定'!$Q$2:$Q$8)*20,1))</f>
        <v/>
      </c>
      <c r="U184" s="11">
        <f>IF(T184="","",IF(T184&gt;='マスタ設定'!$S$5,"S：経営支援",IF(T184&gt;='マスタ設定'!$S$6,"A：重点",IF(T184&gt;='マスタ設定'!$S$7,"B：標準","C：省力化・撤退検討"))))</f>
        <v/>
      </c>
      <c r="V184" s="11">
        <f>IF(OR(L184="",K184=""),"",IF(AND(L184&lt;'マスタ設定'!$S$2,K184&gt;'マスタ設定'!$S$3),"要トリアージ",""))</f>
        <v/>
      </c>
      <c r="W184" s="11" t="n"/>
      <c r="X184" s="11" t="n"/>
      <c r="Y184" s="11" t="n"/>
      <c r="Z184" s="11">
        <f>IF(Y184="","",TODAY()-Y184)</f>
        <v/>
      </c>
      <c r="AA184" s="11">
        <f>IF(Z184="","",IF(Z184&gt;'マスタ設定'!$S$4,"停滞",""))</f>
        <v/>
      </c>
      <c r="AB184" s="11" t="n"/>
      <c r="AC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>
        <f>IF(OR(H185="",H185=0),"",I185/H185)</f>
        <v/>
      </c>
      <c r="K185" s="11" t="n"/>
      <c r="L185" s="11">
        <f>IF(OR(K185="",K185=0),"",ROUND(I185/K185,1))</f>
        <v/>
      </c>
      <c r="M185" s="11" t="n"/>
      <c r="N185" s="11" t="n"/>
      <c r="O185" s="11" t="n"/>
      <c r="P185" s="11" t="n"/>
      <c r="Q185" s="11" t="n"/>
      <c r="R185" s="11" t="n"/>
      <c r="S185" s="11" t="n"/>
      <c r="T185" s="11">
        <f>IF(COUNT(M185:S185)&lt;7,"",ROUND(SUMPRODUCT(M185:S185,'マスタ設定'!$Q$2:$Q$8)*20,1))</f>
        <v/>
      </c>
      <c r="U185" s="11">
        <f>IF(T185="","",IF(T185&gt;='マスタ設定'!$S$5,"S：経営支援",IF(T185&gt;='マスタ設定'!$S$6,"A：重点",IF(T185&gt;='マスタ設定'!$S$7,"B：標準","C：省力化・撤退検討"))))</f>
        <v/>
      </c>
      <c r="V185" s="11">
        <f>IF(OR(L185="",K185=""),"",IF(AND(L185&lt;'マスタ設定'!$S$2,K185&gt;'マスタ設定'!$S$3),"要トリアージ",""))</f>
        <v/>
      </c>
      <c r="W185" s="11" t="n"/>
      <c r="X185" s="11" t="n"/>
      <c r="Y185" s="11" t="n"/>
      <c r="Z185" s="11">
        <f>IF(Y185="","",TODAY()-Y185)</f>
        <v/>
      </c>
      <c r="AA185" s="11">
        <f>IF(Z185="","",IF(Z185&gt;'マスタ設定'!$S$4,"停滞",""))</f>
        <v/>
      </c>
      <c r="AB185" s="11" t="n"/>
      <c r="AC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>
        <f>IF(OR(H186="",H186=0),"",I186/H186)</f>
        <v/>
      </c>
      <c r="K186" s="11" t="n"/>
      <c r="L186" s="11">
        <f>IF(OR(K186="",K186=0),"",ROUND(I186/K186,1))</f>
        <v/>
      </c>
      <c r="M186" s="11" t="n"/>
      <c r="N186" s="11" t="n"/>
      <c r="O186" s="11" t="n"/>
      <c r="P186" s="11" t="n"/>
      <c r="Q186" s="11" t="n"/>
      <c r="R186" s="11" t="n"/>
      <c r="S186" s="11" t="n"/>
      <c r="T186" s="11">
        <f>IF(COUNT(M186:S186)&lt;7,"",ROUND(SUMPRODUCT(M186:S186,'マスタ設定'!$Q$2:$Q$8)*20,1))</f>
        <v/>
      </c>
      <c r="U186" s="11">
        <f>IF(T186="","",IF(T186&gt;='マスタ設定'!$S$5,"S：経営支援",IF(T186&gt;='マスタ設定'!$S$6,"A：重点",IF(T186&gt;='マスタ設定'!$S$7,"B：標準","C：省力化・撤退検討"))))</f>
        <v/>
      </c>
      <c r="V186" s="11">
        <f>IF(OR(L186="",K186=""),"",IF(AND(L186&lt;'マスタ設定'!$S$2,K186&gt;'マスタ設定'!$S$3),"要トリアージ",""))</f>
        <v/>
      </c>
      <c r="W186" s="11" t="n"/>
      <c r="X186" s="11" t="n"/>
      <c r="Y186" s="11" t="n"/>
      <c r="Z186" s="11">
        <f>IF(Y186="","",TODAY()-Y186)</f>
        <v/>
      </c>
      <c r="AA186" s="11">
        <f>IF(Z186="","",IF(Z186&gt;'マスタ設定'!$S$4,"停滞",""))</f>
        <v/>
      </c>
      <c r="AB186" s="11" t="n"/>
      <c r="AC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>
        <f>IF(OR(H187="",H187=0),"",I187/H187)</f>
        <v/>
      </c>
      <c r="K187" s="11" t="n"/>
      <c r="L187" s="11">
        <f>IF(OR(K187="",K187=0),"",ROUND(I187/K187,1))</f>
        <v/>
      </c>
      <c r="M187" s="11" t="n"/>
      <c r="N187" s="11" t="n"/>
      <c r="O187" s="11" t="n"/>
      <c r="P187" s="11" t="n"/>
      <c r="Q187" s="11" t="n"/>
      <c r="R187" s="11" t="n"/>
      <c r="S187" s="11" t="n"/>
      <c r="T187" s="11">
        <f>IF(COUNT(M187:S187)&lt;7,"",ROUND(SUMPRODUCT(M187:S187,'マスタ設定'!$Q$2:$Q$8)*20,1))</f>
        <v/>
      </c>
      <c r="U187" s="11">
        <f>IF(T187="","",IF(T187&gt;='マスタ設定'!$S$5,"S：経営支援",IF(T187&gt;='マスタ設定'!$S$6,"A：重点",IF(T187&gt;='マスタ設定'!$S$7,"B：標準","C：省力化・撤退検討"))))</f>
        <v/>
      </c>
      <c r="V187" s="11">
        <f>IF(OR(L187="",K187=""),"",IF(AND(L187&lt;'マスタ設定'!$S$2,K187&gt;'マスタ設定'!$S$3),"要トリアージ",""))</f>
        <v/>
      </c>
      <c r="W187" s="11" t="n"/>
      <c r="X187" s="11" t="n"/>
      <c r="Y187" s="11" t="n"/>
      <c r="Z187" s="11">
        <f>IF(Y187="","",TODAY()-Y187)</f>
        <v/>
      </c>
      <c r="AA187" s="11">
        <f>IF(Z187="","",IF(Z187&gt;'マスタ設定'!$S$4,"停滞",""))</f>
        <v/>
      </c>
      <c r="AB187" s="11" t="n"/>
      <c r="AC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>
        <f>IF(OR(H188="",H188=0),"",I188/H188)</f>
        <v/>
      </c>
      <c r="K188" s="11" t="n"/>
      <c r="L188" s="11">
        <f>IF(OR(K188="",K188=0),"",ROUND(I188/K188,1))</f>
        <v/>
      </c>
      <c r="M188" s="11" t="n"/>
      <c r="N188" s="11" t="n"/>
      <c r="O188" s="11" t="n"/>
      <c r="P188" s="11" t="n"/>
      <c r="Q188" s="11" t="n"/>
      <c r="R188" s="11" t="n"/>
      <c r="S188" s="11" t="n"/>
      <c r="T188" s="11">
        <f>IF(COUNT(M188:S188)&lt;7,"",ROUND(SUMPRODUCT(M188:S188,'マスタ設定'!$Q$2:$Q$8)*20,1))</f>
        <v/>
      </c>
      <c r="U188" s="11">
        <f>IF(T188="","",IF(T188&gt;='マスタ設定'!$S$5,"S：経営支援",IF(T188&gt;='マスタ設定'!$S$6,"A：重点",IF(T188&gt;='マスタ設定'!$S$7,"B：標準","C：省力化・撤退検討"))))</f>
        <v/>
      </c>
      <c r="V188" s="11">
        <f>IF(OR(L188="",K188=""),"",IF(AND(L188&lt;'マスタ設定'!$S$2,K188&gt;'マスタ設定'!$S$3),"要トリアージ",""))</f>
        <v/>
      </c>
      <c r="W188" s="11" t="n"/>
      <c r="X188" s="11" t="n"/>
      <c r="Y188" s="11" t="n"/>
      <c r="Z188" s="11">
        <f>IF(Y188="","",TODAY()-Y188)</f>
        <v/>
      </c>
      <c r="AA188" s="11">
        <f>IF(Z188="","",IF(Z188&gt;'マスタ設定'!$S$4,"停滞",""))</f>
        <v/>
      </c>
      <c r="AB188" s="11" t="n"/>
      <c r="AC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>
        <f>IF(OR(H189="",H189=0),"",I189/H189)</f>
        <v/>
      </c>
      <c r="K189" s="11" t="n"/>
      <c r="L189" s="11">
        <f>IF(OR(K189="",K189=0),"",ROUND(I189/K189,1))</f>
        <v/>
      </c>
      <c r="M189" s="11" t="n"/>
      <c r="N189" s="11" t="n"/>
      <c r="O189" s="11" t="n"/>
      <c r="P189" s="11" t="n"/>
      <c r="Q189" s="11" t="n"/>
      <c r="R189" s="11" t="n"/>
      <c r="S189" s="11" t="n"/>
      <c r="T189" s="11">
        <f>IF(COUNT(M189:S189)&lt;7,"",ROUND(SUMPRODUCT(M189:S189,'マスタ設定'!$Q$2:$Q$8)*20,1))</f>
        <v/>
      </c>
      <c r="U189" s="11">
        <f>IF(T189="","",IF(T189&gt;='マスタ設定'!$S$5,"S：経営支援",IF(T189&gt;='マスタ設定'!$S$6,"A：重点",IF(T189&gt;='マスタ設定'!$S$7,"B：標準","C：省力化・撤退検討"))))</f>
        <v/>
      </c>
      <c r="V189" s="11">
        <f>IF(OR(L189="",K189=""),"",IF(AND(L189&lt;'マスタ設定'!$S$2,K189&gt;'マスタ設定'!$S$3),"要トリアージ",""))</f>
        <v/>
      </c>
      <c r="W189" s="11" t="n"/>
      <c r="X189" s="11" t="n"/>
      <c r="Y189" s="11" t="n"/>
      <c r="Z189" s="11">
        <f>IF(Y189="","",TODAY()-Y189)</f>
        <v/>
      </c>
      <c r="AA189" s="11">
        <f>IF(Z189="","",IF(Z189&gt;'マスタ設定'!$S$4,"停滞",""))</f>
        <v/>
      </c>
      <c r="AB189" s="11" t="n"/>
      <c r="AC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>
        <f>IF(OR(H190="",H190=0),"",I190/H190)</f>
        <v/>
      </c>
      <c r="K190" s="11" t="n"/>
      <c r="L190" s="11">
        <f>IF(OR(K190="",K190=0),"",ROUND(I190/K190,1))</f>
        <v/>
      </c>
      <c r="M190" s="11" t="n"/>
      <c r="N190" s="11" t="n"/>
      <c r="O190" s="11" t="n"/>
      <c r="P190" s="11" t="n"/>
      <c r="Q190" s="11" t="n"/>
      <c r="R190" s="11" t="n"/>
      <c r="S190" s="11" t="n"/>
      <c r="T190" s="11">
        <f>IF(COUNT(M190:S190)&lt;7,"",ROUND(SUMPRODUCT(M190:S190,'マスタ設定'!$Q$2:$Q$8)*20,1))</f>
        <v/>
      </c>
      <c r="U190" s="11">
        <f>IF(T190="","",IF(T190&gt;='マスタ設定'!$S$5,"S：経営支援",IF(T190&gt;='マスタ設定'!$S$6,"A：重点",IF(T190&gt;='マスタ設定'!$S$7,"B：標準","C：省力化・撤退検討"))))</f>
        <v/>
      </c>
      <c r="V190" s="11">
        <f>IF(OR(L190="",K190=""),"",IF(AND(L190&lt;'マスタ設定'!$S$2,K190&gt;'マスタ設定'!$S$3),"要トリアージ",""))</f>
        <v/>
      </c>
      <c r="W190" s="11" t="n"/>
      <c r="X190" s="11" t="n"/>
      <c r="Y190" s="11" t="n"/>
      <c r="Z190" s="11">
        <f>IF(Y190="","",TODAY()-Y190)</f>
        <v/>
      </c>
      <c r="AA190" s="11">
        <f>IF(Z190="","",IF(Z190&gt;'マスタ設定'!$S$4,"停滞",""))</f>
        <v/>
      </c>
      <c r="AB190" s="11" t="n"/>
      <c r="AC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>
        <f>IF(OR(H191="",H191=0),"",I191/H191)</f>
        <v/>
      </c>
      <c r="K191" s="11" t="n"/>
      <c r="L191" s="11">
        <f>IF(OR(K191="",K191=0),"",ROUND(I191/K191,1))</f>
        <v/>
      </c>
      <c r="M191" s="11" t="n"/>
      <c r="N191" s="11" t="n"/>
      <c r="O191" s="11" t="n"/>
      <c r="P191" s="11" t="n"/>
      <c r="Q191" s="11" t="n"/>
      <c r="R191" s="11" t="n"/>
      <c r="S191" s="11" t="n"/>
      <c r="T191" s="11">
        <f>IF(COUNT(M191:S191)&lt;7,"",ROUND(SUMPRODUCT(M191:S191,'マスタ設定'!$Q$2:$Q$8)*20,1))</f>
        <v/>
      </c>
      <c r="U191" s="11">
        <f>IF(T191="","",IF(T191&gt;='マスタ設定'!$S$5,"S：経営支援",IF(T191&gt;='マスタ設定'!$S$6,"A：重点",IF(T191&gt;='マスタ設定'!$S$7,"B：標準","C：省力化・撤退検討"))))</f>
        <v/>
      </c>
      <c r="V191" s="11">
        <f>IF(OR(L191="",K191=""),"",IF(AND(L191&lt;'マスタ設定'!$S$2,K191&gt;'マスタ設定'!$S$3),"要トリアージ",""))</f>
        <v/>
      </c>
      <c r="W191" s="11" t="n"/>
      <c r="X191" s="11" t="n"/>
      <c r="Y191" s="11" t="n"/>
      <c r="Z191" s="11">
        <f>IF(Y191="","",TODAY()-Y191)</f>
        <v/>
      </c>
      <c r="AA191" s="11">
        <f>IF(Z191="","",IF(Z191&gt;'マスタ設定'!$S$4,"停滞",""))</f>
        <v/>
      </c>
      <c r="AB191" s="11" t="n"/>
      <c r="AC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>
        <f>IF(OR(H192="",H192=0),"",I192/H192)</f>
        <v/>
      </c>
      <c r="K192" s="11" t="n"/>
      <c r="L192" s="11">
        <f>IF(OR(K192="",K192=0),"",ROUND(I192/K192,1))</f>
        <v/>
      </c>
      <c r="M192" s="11" t="n"/>
      <c r="N192" s="11" t="n"/>
      <c r="O192" s="11" t="n"/>
      <c r="P192" s="11" t="n"/>
      <c r="Q192" s="11" t="n"/>
      <c r="R192" s="11" t="n"/>
      <c r="S192" s="11" t="n"/>
      <c r="T192" s="11">
        <f>IF(COUNT(M192:S192)&lt;7,"",ROUND(SUMPRODUCT(M192:S192,'マスタ設定'!$Q$2:$Q$8)*20,1))</f>
        <v/>
      </c>
      <c r="U192" s="11">
        <f>IF(T192="","",IF(T192&gt;='マスタ設定'!$S$5,"S：経営支援",IF(T192&gt;='マスタ設定'!$S$6,"A：重点",IF(T192&gt;='マスタ設定'!$S$7,"B：標準","C：省力化・撤退検討"))))</f>
        <v/>
      </c>
      <c r="V192" s="11">
        <f>IF(OR(L192="",K192=""),"",IF(AND(L192&lt;'マスタ設定'!$S$2,K192&gt;'マスタ設定'!$S$3),"要トリアージ",""))</f>
        <v/>
      </c>
      <c r="W192" s="11" t="n"/>
      <c r="X192" s="11" t="n"/>
      <c r="Y192" s="11" t="n"/>
      <c r="Z192" s="11">
        <f>IF(Y192="","",TODAY()-Y192)</f>
        <v/>
      </c>
      <c r="AA192" s="11">
        <f>IF(Z192="","",IF(Z192&gt;'マスタ設定'!$S$4,"停滞",""))</f>
        <v/>
      </c>
      <c r="AB192" s="11" t="n"/>
      <c r="AC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>
        <f>IF(OR(H193="",H193=0),"",I193/H193)</f>
        <v/>
      </c>
      <c r="K193" s="11" t="n"/>
      <c r="L193" s="11">
        <f>IF(OR(K193="",K193=0),"",ROUND(I193/K193,1))</f>
        <v/>
      </c>
      <c r="M193" s="11" t="n"/>
      <c r="N193" s="11" t="n"/>
      <c r="O193" s="11" t="n"/>
      <c r="P193" s="11" t="n"/>
      <c r="Q193" s="11" t="n"/>
      <c r="R193" s="11" t="n"/>
      <c r="S193" s="11" t="n"/>
      <c r="T193" s="11">
        <f>IF(COUNT(M193:S193)&lt;7,"",ROUND(SUMPRODUCT(M193:S193,'マスタ設定'!$Q$2:$Q$8)*20,1))</f>
        <v/>
      </c>
      <c r="U193" s="11">
        <f>IF(T193="","",IF(T193&gt;='マスタ設定'!$S$5,"S：経営支援",IF(T193&gt;='マスタ設定'!$S$6,"A：重点",IF(T193&gt;='マスタ設定'!$S$7,"B：標準","C：省力化・撤退検討"))))</f>
        <v/>
      </c>
      <c r="V193" s="11">
        <f>IF(OR(L193="",K193=""),"",IF(AND(L193&lt;'マスタ設定'!$S$2,K193&gt;'マスタ設定'!$S$3),"要トリアージ",""))</f>
        <v/>
      </c>
      <c r="W193" s="11" t="n"/>
      <c r="X193" s="11" t="n"/>
      <c r="Y193" s="11" t="n"/>
      <c r="Z193" s="11">
        <f>IF(Y193="","",TODAY()-Y193)</f>
        <v/>
      </c>
      <c r="AA193" s="11">
        <f>IF(Z193="","",IF(Z193&gt;'マスタ設定'!$S$4,"停滞",""))</f>
        <v/>
      </c>
      <c r="AB193" s="11" t="n"/>
      <c r="AC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>
        <f>IF(OR(H194="",H194=0),"",I194/H194)</f>
        <v/>
      </c>
      <c r="K194" s="11" t="n"/>
      <c r="L194" s="11">
        <f>IF(OR(K194="",K194=0),"",ROUND(I194/K194,1))</f>
        <v/>
      </c>
      <c r="M194" s="11" t="n"/>
      <c r="N194" s="11" t="n"/>
      <c r="O194" s="11" t="n"/>
      <c r="P194" s="11" t="n"/>
      <c r="Q194" s="11" t="n"/>
      <c r="R194" s="11" t="n"/>
      <c r="S194" s="11" t="n"/>
      <c r="T194" s="11">
        <f>IF(COUNT(M194:S194)&lt;7,"",ROUND(SUMPRODUCT(M194:S194,'マスタ設定'!$Q$2:$Q$8)*20,1))</f>
        <v/>
      </c>
      <c r="U194" s="11">
        <f>IF(T194="","",IF(T194&gt;='マスタ設定'!$S$5,"S：経営支援",IF(T194&gt;='マスタ設定'!$S$6,"A：重点",IF(T194&gt;='マスタ設定'!$S$7,"B：標準","C：省力化・撤退検討"))))</f>
        <v/>
      </c>
      <c r="V194" s="11">
        <f>IF(OR(L194="",K194=""),"",IF(AND(L194&lt;'マスタ設定'!$S$2,K194&gt;'マスタ設定'!$S$3),"要トリアージ",""))</f>
        <v/>
      </c>
      <c r="W194" s="11" t="n"/>
      <c r="X194" s="11" t="n"/>
      <c r="Y194" s="11" t="n"/>
      <c r="Z194" s="11">
        <f>IF(Y194="","",TODAY()-Y194)</f>
        <v/>
      </c>
      <c r="AA194" s="11">
        <f>IF(Z194="","",IF(Z194&gt;'マスタ設定'!$S$4,"停滞",""))</f>
        <v/>
      </c>
      <c r="AB194" s="11" t="n"/>
      <c r="AC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>
        <f>IF(OR(H195="",H195=0),"",I195/H195)</f>
        <v/>
      </c>
      <c r="K195" s="11" t="n"/>
      <c r="L195" s="11">
        <f>IF(OR(K195="",K195=0),"",ROUND(I195/K195,1))</f>
        <v/>
      </c>
      <c r="M195" s="11" t="n"/>
      <c r="N195" s="11" t="n"/>
      <c r="O195" s="11" t="n"/>
      <c r="P195" s="11" t="n"/>
      <c r="Q195" s="11" t="n"/>
      <c r="R195" s="11" t="n"/>
      <c r="S195" s="11" t="n"/>
      <c r="T195" s="11">
        <f>IF(COUNT(M195:S195)&lt;7,"",ROUND(SUMPRODUCT(M195:S195,'マスタ設定'!$Q$2:$Q$8)*20,1))</f>
        <v/>
      </c>
      <c r="U195" s="11">
        <f>IF(T195="","",IF(T195&gt;='マスタ設定'!$S$5,"S：経営支援",IF(T195&gt;='マスタ設定'!$S$6,"A：重点",IF(T195&gt;='マスタ設定'!$S$7,"B：標準","C：省力化・撤退検討"))))</f>
        <v/>
      </c>
      <c r="V195" s="11">
        <f>IF(OR(L195="",K195=""),"",IF(AND(L195&lt;'マスタ設定'!$S$2,K195&gt;'マスタ設定'!$S$3),"要トリアージ",""))</f>
        <v/>
      </c>
      <c r="W195" s="11" t="n"/>
      <c r="X195" s="11" t="n"/>
      <c r="Y195" s="11" t="n"/>
      <c r="Z195" s="11">
        <f>IF(Y195="","",TODAY()-Y195)</f>
        <v/>
      </c>
      <c r="AA195" s="11">
        <f>IF(Z195="","",IF(Z195&gt;'マスタ設定'!$S$4,"停滞",""))</f>
        <v/>
      </c>
      <c r="AB195" s="11" t="n"/>
      <c r="AC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>
        <f>IF(OR(H196="",H196=0),"",I196/H196)</f>
        <v/>
      </c>
      <c r="K196" s="11" t="n"/>
      <c r="L196" s="11">
        <f>IF(OR(K196="",K196=0),"",ROUND(I196/K196,1))</f>
        <v/>
      </c>
      <c r="M196" s="11" t="n"/>
      <c r="N196" s="11" t="n"/>
      <c r="O196" s="11" t="n"/>
      <c r="P196" s="11" t="n"/>
      <c r="Q196" s="11" t="n"/>
      <c r="R196" s="11" t="n"/>
      <c r="S196" s="11" t="n"/>
      <c r="T196" s="11">
        <f>IF(COUNT(M196:S196)&lt;7,"",ROUND(SUMPRODUCT(M196:S196,'マスタ設定'!$Q$2:$Q$8)*20,1))</f>
        <v/>
      </c>
      <c r="U196" s="11">
        <f>IF(T196="","",IF(T196&gt;='マスタ設定'!$S$5,"S：経営支援",IF(T196&gt;='マスタ設定'!$S$6,"A：重点",IF(T196&gt;='マスタ設定'!$S$7,"B：標準","C：省力化・撤退検討"))))</f>
        <v/>
      </c>
      <c r="V196" s="11">
        <f>IF(OR(L196="",K196=""),"",IF(AND(L196&lt;'マスタ設定'!$S$2,K196&gt;'マスタ設定'!$S$3),"要トリアージ",""))</f>
        <v/>
      </c>
      <c r="W196" s="11" t="n"/>
      <c r="X196" s="11" t="n"/>
      <c r="Y196" s="11" t="n"/>
      <c r="Z196" s="11">
        <f>IF(Y196="","",TODAY()-Y196)</f>
        <v/>
      </c>
      <c r="AA196" s="11">
        <f>IF(Z196="","",IF(Z196&gt;'マスタ設定'!$S$4,"停滞",""))</f>
        <v/>
      </c>
      <c r="AB196" s="11" t="n"/>
      <c r="AC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>
        <f>IF(OR(H197="",H197=0),"",I197/H197)</f>
        <v/>
      </c>
      <c r="K197" s="11" t="n"/>
      <c r="L197" s="11">
        <f>IF(OR(K197="",K197=0),"",ROUND(I197/K197,1))</f>
        <v/>
      </c>
      <c r="M197" s="11" t="n"/>
      <c r="N197" s="11" t="n"/>
      <c r="O197" s="11" t="n"/>
      <c r="P197" s="11" t="n"/>
      <c r="Q197" s="11" t="n"/>
      <c r="R197" s="11" t="n"/>
      <c r="S197" s="11" t="n"/>
      <c r="T197" s="11">
        <f>IF(COUNT(M197:S197)&lt;7,"",ROUND(SUMPRODUCT(M197:S197,'マスタ設定'!$Q$2:$Q$8)*20,1))</f>
        <v/>
      </c>
      <c r="U197" s="11">
        <f>IF(T197="","",IF(T197&gt;='マスタ設定'!$S$5,"S：経営支援",IF(T197&gt;='マスタ設定'!$S$6,"A：重点",IF(T197&gt;='マスタ設定'!$S$7,"B：標準","C：省力化・撤退検討"))))</f>
        <v/>
      </c>
      <c r="V197" s="11">
        <f>IF(OR(L197="",K197=""),"",IF(AND(L197&lt;'マスタ設定'!$S$2,K197&gt;'マスタ設定'!$S$3),"要トリアージ",""))</f>
        <v/>
      </c>
      <c r="W197" s="11" t="n"/>
      <c r="X197" s="11" t="n"/>
      <c r="Y197" s="11" t="n"/>
      <c r="Z197" s="11">
        <f>IF(Y197="","",TODAY()-Y197)</f>
        <v/>
      </c>
      <c r="AA197" s="11">
        <f>IF(Z197="","",IF(Z197&gt;'マスタ設定'!$S$4,"停滞",""))</f>
        <v/>
      </c>
      <c r="AB197" s="11" t="n"/>
      <c r="AC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>
        <f>IF(OR(H198="",H198=0),"",I198/H198)</f>
        <v/>
      </c>
      <c r="K198" s="11" t="n"/>
      <c r="L198" s="11">
        <f>IF(OR(K198="",K198=0),"",ROUND(I198/K198,1))</f>
        <v/>
      </c>
      <c r="M198" s="11" t="n"/>
      <c r="N198" s="11" t="n"/>
      <c r="O198" s="11" t="n"/>
      <c r="P198" s="11" t="n"/>
      <c r="Q198" s="11" t="n"/>
      <c r="R198" s="11" t="n"/>
      <c r="S198" s="11" t="n"/>
      <c r="T198" s="11">
        <f>IF(COUNT(M198:S198)&lt;7,"",ROUND(SUMPRODUCT(M198:S198,'マスタ設定'!$Q$2:$Q$8)*20,1))</f>
        <v/>
      </c>
      <c r="U198" s="11">
        <f>IF(T198="","",IF(T198&gt;='マスタ設定'!$S$5,"S：経営支援",IF(T198&gt;='マスタ設定'!$S$6,"A：重点",IF(T198&gt;='マスタ設定'!$S$7,"B：標準","C：省力化・撤退検討"))))</f>
        <v/>
      </c>
      <c r="V198" s="11">
        <f>IF(OR(L198="",K198=""),"",IF(AND(L198&lt;'マスタ設定'!$S$2,K198&gt;'マスタ設定'!$S$3),"要トリアージ",""))</f>
        <v/>
      </c>
      <c r="W198" s="11" t="n"/>
      <c r="X198" s="11" t="n"/>
      <c r="Y198" s="11" t="n"/>
      <c r="Z198" s="11">
        <f>IF(Y198="","",TODAY()-Y198)</f>
        <v/>
      </c>
      <c r="AA198" s="11">
        <f>IF(Z198="","",IF(Z198&gt;'マスタ設定'!$S$4,"停滞",""))</f>
        <v/>
      </c>
      <c r="AB198" s="11" t="n"/>
      <c r="AC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>
        <f>IF(OR(H199="",H199=0),"",I199/H199)</f>
        <v/>
      </c>
      <c r="K199" s="11" t="n"/>
      <c r="L199" s="11">
        <f>IF(OR(K199="",K199=0),"",ROUND(I199/K199,1))</f>
        <v/>
      </c>
      <c r="M199" s="11" t="n"/>
      <c r="N199" s="11" t="n"/>
      <c r="O199" s="11" t="n"/>
      <c r="P199" s="11" t="n"/>
      <c r="Q199" s="11" t="n"/>
      <c r="R199" s="11" t="n"/>
      <c r="S199" s="11" t="n"/>
      <c r="T199" s="11">
        <f>IF(COUNT(M199:S199)&lt;7,"",ROUND(SUMPRODUCT(M199:S199,'マスタ設定'!$Q$2:$Q$8)*20,1))</f>
        <v/>
      </c>
      <c r="U199" s="11">
        <f>IF(T199="","",IF(T199&gt;='マスタ設定'!$S$5,"S：経営支援",IF(T199&gt;='マスタ設定'!$S$6,"A：重点",IF(T199&gt;='マスタ設定'!$S$7,"B：標準","C：省力化・撤退検討"))))</f>
        <v/>
      </c>
      <c r="V199" s="11">
        <f>IF(OR(L199="",K199=""),"",IF(AND(L199&lt;'マスタ設定'!$S$2,K199&gt;'マスタ設定'!$S$3),"要トリアージ",""))</f>
        <v/>
      </c>
      <c r="W199" s="11" t="n"/>
      <c r="X199" s="11" t="n"/>
      <c r="Y199" s="11" t="n"/>
      <c r="Z199" s="11">
        <f>IF(Y199="","",TODAY()-Y199)</f>
        <v/>
      </c>
      <c r="AA199" s="11">
        <f>IF(Z199="","",IF(Z199&gt;'マスタ設定'!$S$4,"停滞",""))</f>
        <v/>
      </c>
      <c r="AB199" s="11" t="n"/>
      <c r="AC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>
        <f>IF(OR(H200="",H200=0),"",I200/H200)</f>
        <v/>
      </c>
      <c r="K200" s="11" t="n"/>
      <c r="L200" s="11">
        <f>IF(OR(K200="",K200=0),"",ROUND(I200/K200,1))</f>
        <v/>
      </c>
      <c r="M200" s="11" t="n"/>
      <c r="N200" s="11" t="n"/>
      <c r="O200" s="11" t="n"/>
      <c r="P200" s="11" t="n"/>
      <c r="Q200" s="11" t="n"/>
      <c r="R200" s="11" t="n"/>
      <c r="S200" s="11" t="n"/>
      <c r="T200" s="11">
        <f>IF(COUNT(M200:S200)&lt;7,"",ROUND(SUMPRODUCT(M200:S200,'マスタ設定'!$Q$2:$Q$8)*20,1))</f>
        <v/>
      </c>
      <c r="U200" s="11">
        <f>IF(T200="","",IF(T200&gt;='マスタ設定'!$S$5,"S：経営支援",IF(T200&gt;='マスタ設定'!$S$6,"A：重点",IF(T200&gt;='マスタ設定'!$S$7,"B：標準","C：省力化・撤退検討"))))</f>
        <v/>
      </c>
      <c r="V200" s="11">
        <f>IF(OR(L200="",K200=""),"",IF(AND(L200&lt;'マスタ設定'!$S$2,K200&gt;'マスタ設定'!$S$3),"要トリアージ",""))</f>
        <v/>
      </c>
      <c r="W200" s="11" t="n"/>
      <c r="X200" s="11" t="n"/>
      <c r="Y200" s="11" t="n"/>
      <c r="Z200" s="11">
        <f>IF(Y200="","",TODAY()-Y200)</f>
        <v/>
      </c>
      <c r="AA200" s="11">
        <f>IF(Z200="","",IF(Z200&gt;'マスタ設定'!$S$4,"停滞",""))</f>
        <v/>
      </c>
      <c r="AB200" s="11" t="n"/>
      <c r="AC200" s="11" t="n"/>
    </row>
  </sheetData>
  <autoFilter ref="A1:AC200"/>
  <conditionalFormatting sqref="AA2:AA200">
    <cfRule type="expression" priority="1" dxfId="1">
      <formula>AA2="停滞"</formula>
    </cfRule>
  </conditionalFormatting>
  <conditionalFormatting sqref="V2:V200">
    <cfRule type="expression" priority="2" dxfId="1">
      <formula>V2="要トリアージ"</formula>
    </cfRule>
  </conditionalFormatting>
  <conditionalFormatting sqref="U2:U200">
    <cfRule type="expression" priority="3" dxfId="0">
      <formula>LEFT(U2,1)="S"</formula>
    </cfRule>
  </conditionalFormatting>
  <dataValidations count="4">
    <dataValidation sqref="D2:D200" showDropDown="0" showInputMessage="0" showErrorMessage="0" allowBlank="1" type="list">
      <formula1>'マスタ設定'!$A$2:$A$13</formula1>
    </dataValidation>
    <dataValidation sqref="E2:E200" showDropDown="0" showInputMessage="0" showErrorMessage="0" allowBlank="1" type="list">
      <formula1>'マスタ設定'!$M$2:$M$6</formula1>
    </dataValidation>
    <dataValidation sqref="F2:F200" showDropDown="0" showInputMessage="0" showErrorMessage="0" allowBlank="1" type="list">
      <formula1>'マスタ設定'!$B$2:$B$7</formula1>
    </dataValidation>
    <dataValidation sqref="G2:G200" showDropDown="0" showInputMessage="0" showErrorMessage="0" allowBlank="1" type="list">
      <formula1>'マスタ設定'!$C$2:$C$5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13" customWidth="1" min="8" max="8"/>
    <col width="10" customWidth="1" min="9" max="9"/>
    <col width="22" customWidth="1" min="10" max="10"/>
    <col width="22" customWidth="1" min="11" max="11"/>
  </cols>
  <sheetData>
    <row r="1" ht="28" customHeight="1">
      <c r="A1" s="10" t="inlineStr">
        <is>
          <t>パートナー名</t>
        </is>
      </c>
      <c r="B1" s="10" t="inlineStr">
        <is>
          <t>種別</t>
        </is>
      </c>
      <c r="C1" s="10" t="inlineStr">
        <is>
          <t>対象領域</t>
        </is>
      </c>
      <c r="D1" s="10" t="inlineStr">
        <is>
          <t>契約形態</t>
        </is>
      </c>
      <c r="E1" s="10" t="inlineStr">
        <is>
          <t>契約期限</t>
        </is>
      </c>
      <c r="F1" s="10" t="inlineStr">
        <is>
          <t>依存度</t>
        </is>
      </c>
      <c r="G1" s="10" t="inlineStr">
        <is>
          <t>評価</t>
        </is>
      </c>
      <c r="H1" s="10" t="inlineStr">
        <is>
          <t>年間取扱額(千円)</t>
        </is>
      </c>
      <c r="I1" s="10" t="inlineStr">
        <is>
          <t>担当</t>
        </is>
      </c>
      <c r="J1" s="10" t="inlineStr">
        <is>
          <t>リスク・代替可能性</t>
        </is>
      </c>
      <c r="K1" s="10" t="inlineStr">
        <is>
          <t>メモ</t>
        </is>
      </c>
    </row>
    <row r="2">
      <c r="A2" s="11" t="inlineStr">
        <is>
          <t>（サンプル）海外代理店B社</t>
        </is>
      </c>
      <c r="B2" s="11" t="inlineStr">
        <is>
          <t>代理店</t>
        </is>
      </c>
      <c r="C2" s="11" t="inlineStr">
        <is>
          <t>海外</t>
        </is>
      </c>
      <c r="D2" s="11" t="inlineStr">
        <is>
          <t>総代理（〜2027/3）</t>
        </is>
      </c>
      <c r="E2" s="11" t="inlineStr">
        <is>
          <t>2027-03-31</t>
        </is>
      </c>
      <c r="F2" s="11" t="inlineStr">
        <is>
          <t>高</t>
        </is>
      </c>
      <c r="G2" s="11" t="inlineStr">
        <is>
          <t>A</t>
        </is>
      </c>
      <c r="H2" s="11" t="n">
        <v>250000</v>
      </c>
      <c r="I2" s="11" t="inlineStr">
        <is>
          <t>担当者C</t>
        </is>
      </c>
      <c r="J2" s="11" t="inlineStr">
        <is>
          <t>特定市場の依存度高。直販切替の検討余地</t>
        </is>
      </c>
      <c r="K2" s="11" t="inlineStr">
        <is>
          <t>サンプル行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</row>
  </sheetData>
  <autoFilter ref="A1:K200"/>
  <dataValidations count="4">
    <dataValidation sqref="B2:B200" showDropDown="0" showInputMessage="0" showErrorMessage="0" allowBlank="1" type="list">
      <formula1>'マスタ設定'!$J$2:$J$6</formula1>
    </dataValidation>
    <dataValidation sqref="C2:C200" showDropDown="0" showInputMessage="0" showErrorMessage="0" allowBlank="1" type="list">
      <formula1>'マスタ設定'!$A$2:$A$13</formula1>
    </dataValidation>
    <dataValidation sqref="F2:F200" showDropDown="0" showInputMessage="0" showErrorMessage="0" allowBlank="1" type="list">
      <formula1>'マスタ設定'!$K$2:$K$4</formula1>
    </dataValidation>
    <dataValidation sqref="G2:G200" showDropDown="0" showInputMessage="0" showErrorMessage="0" allowBlank="1" type="list">
      <formula1>'マスタ設定'!$L$2:$L$5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8" customWidth="1" min="4" max="4"/>
    <col width="16" customWidth="1" min="5" max="5"/>
    <col width="16" customWidth="1" min="6" max="6"/>
    <col width="26" customWidth="1" min="7" max="7"/>
    <col width="11" customWidth="1" min="8" max="8"/>
    <col width="10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0" customWidth="1" min="15" max="15"/>
    <col width="22" customWidth="1" min="16" max="16"/>
    <col width="20" customWidth="1" min="17" max="17"/>
  </cols>
  <sheetData>
    <row r="1" ht="28" customHeight="1">
      <c r="A1" s="10" t="inlineStr">
        <is>
          <t>外交ID</t>
        </is>
      </c>
      <c r="B1" s="10" t="inlineStr">
        <is>
          <t>面談日</t>
        </is>
      </c>
      <c r="C1" s="10" t="inlineStr">
        <is>
          <t>経営陣(出席)</t>
        </is>
      </c>
      <c r="D1" s="10" t="inlineStr">
        <is>
          <t>相手企業</t>
        </is>
      </c>
      <c r="E1" s="10" t="inlineStr">
        <is>
          <t>相手氏名・役職</t>
        </is>
      </c>
      <c r="F1" s="10" t="inlineStr">
        <is>
          <t>テーマ</t>
        </is>
      </c>
      <c r="G1" s="10" t="inlineStr">
        <is>
          <t>示唆された機会</t>
        </is>
      </c>
      <c r="H1" s="10" t="inlineStr">
        <is>
          <t>状態</t>
        </is>
      </c>
      <c r="I1" s="10" t="inlineStr">
        <is>
          <t>担当営業</t>
        </is>
      </c>
      <c r="J1" s="10" t="inlineStr">
        <is>
          <t>スポンサー役員</t>
        </is>
      </c>
      <c r="K1" s="10" t="inlineStr">
        <is>
          <t>登録日</t>
        </is>
      </c>
      <c r="L1" s="10" t="inlineStr">
        <is>
          <t>初動期限(自動)</t>
        </is>
      </c>
      <c r="M1" s="10" t="inlineStr">
        <is>
          <t>初動実施日</t>
        </is>
      </c>
      <c r="N1" s="10" t="inlineStr">
        <is>
          <t>期限アラート</t>
        </is>
      </c>
      <c r="O1" s="10" t="inlineStr">
        <is>
          <t>関連案件ID</t>
        </is>
      </c>
      <c r="P1" s="10" t="inlineStr">
        <is>
          <t>次アクション</t>
        </is>
      </c>
      <c r="Q1" s="10" t="inlineStr">
        <is>
          <t>メモ</t>
        </is>
      </c>
    </row>
    <row r="2">
      <c r="A2" s="11" t="inlineStr">
        <is>
          <t>T-0001</t>
        </is>
      </c>
      <c r="B2" s="11" t="inlineStr">
        <is>
          <t>2026-06-10</t>
        </is>
      </c>
      <c r="C2" s="11" t="inlineStr">
        <is>
          <t>新谷</t>
        </is>
      </c>
      <c r="D2" s="11" t="inlineStr">
        <is>
          <t>（サンプル）大手流通C社</t>
        </is>
      </c>
      <c r="E2" s="11" t="inlineStr">
        <is>
          <t>○○社長</t>
        </is>
      </c>
      <c r="F2" s="11" t="inlineStr">
        <is>
          <t>共同販促・限定MD</t>
        </is>
      </c>
      <c r="G2" s="11" t="inlineStr">
        <is>
          <t>全国キャンペーン＋限定商品の可能性</t>
        </is>
      </c>
      <c r="H2" s="11" t="inlineStr">
        <is>
          <t>アサイン済</t>
        </is>
      </c>
      <c r="I2" s="11" t="inlineStr">
        <is>
          <t>担当者B</t>
        </is>
      </c>
      <c r="J2" s="11" t="inlineStr">
        <is>
          <t>新谷</t>
        </is>
      </c>
      <c r="K2" s="11" t="inlineStr">
        <is>
          <t>2026-06-11</t>
        </is>
      </c>
      <c r="L2" s="11">
        <f>IF(B2="","",B2+30)</f>
        <v/>
      </c>
      <c r="M2" s="11" t="inlineStr"/>
      <c r="N2" s="11">
        <f>IF(OR(B2="",M2&lt;&gt;""),"",IF(TODAY()&gt;L2,"期限超過",""))</f>
        <v/>
      </c>
      <c r="O2" s="11" t="inlineStr"/>
      <c r="P2" s="11" t="inlineStr">
        <is>
          <t>企画骨子を作成しC社へ打診（7/5まで）</t>
        </is>
      </c>
      <c r="Q2" s="11" t="inlineStr">
        <is>
          <t>サンプル行：面談日+30日が初動期限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>
        <f>IF(B3="","",B3+30)</f>
        <v/>
      </c>
      <c r="M3" s="11" t="n"/>
      <c r="N3" s="11">
        <f>IF(OR(B3="",M3&lt;&gt;""),"",IF(TODAY()&gt;L3,"期限超過",""))</f>
        <v/>
      </c>
      <c r="O3" s="11" t="n"/>
      <c r="P3" s="11" t="n"/>
      <c r="Q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>
        <f>IF(B4="","",B4+30)</f>
        <v/>
      </c>
      <c r="M4" s="11" t="n"/>
      <c r="N4" s="11">
        <f>IF(OR(B4="",M4&lt;&gt;""),"",IF(TODAY()&gt;L4,"期限超過",""))</f>
        <v/>
      </c>
      <c r="O4" s="11" t="n"/>
      <c r="P4" s="11" t="n"/>
      <c r="Q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>
        <f>IF(B5="","",B5+30)</f>
        <v/>
      </c>
      <c r="M5" s="11" t="n"/>
      <c r="N5" s="11">
        <f>IF(OR(B5="",M5&lt;&gt;""),"",IF(TODAY()&gt;L5,"期限超過",""))</f>
        <v/>
      </c>
      <c r="O5" s="11" t="n"/>
      <c r="P5" s="11" t="n"/>
      <c r="Q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>
        <f>IF(B6="","",B6+30)</f>
        <v/>
      </c>
      <c r="M6" s="11" t="n"/>
      <c r="N6" s="11">
        <f>IF(OR(B6="",M6&lt;&gt;""),"",IF(TODAY()&gt;L6,"期限超過",""))</f>
        <v/>
      </c>
      <c r="O6" s="11" t="n"/>
      <c r="P6" s="11" t="n"/>
      <c r="Q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>
        <f>IF(B7="","",B7+30)</f>
        <v/>
      </c>
      <c r="M7" s="11" t="n"/>
      <c r="N7" s="11">
        <f>IF(OR(B7="",M7&lt;&gt;""),"",IF(TODAY()&gt;L7,"期限超過",""))</f>
        <v/>
      </c>
      <c r="O7" s="11" t="n"/>
      <c r="P7" s="11" t="n"/>
      <c r="Q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>
        <f>IF(B8="","",B8+30)</f>
        <v/>
      </c>
      <c r="M8" s="11" t="n"/>
      <c r="N8" s="11">
        <f>IF(OR(B8="",M8&lt;&gt;""),"",IF(TODAY()&gt;L8,"期限超過",""))</f>
        <v/>
      </c>
      <c r="O8" s="11" t="n"/>
      <c r="P8" s="11" t="n"/>
      <c r="Q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>
        <f>IF(B9="","",B9+30)</f>
        <v/>
      </c>
      <c r="M9" s="11" t="n"/>
      <c r="N9" s="11">
        <f>IF(OR(B9="",M9&lt;&gt;""),"",IF(TODAY()&gt;L9,"期限超過",""))</f>
        <v/>
      </c>
      <c r="O9" s="11" t="n"/>
      <c r="P9" s="11" t="n"/>
      <c r="Q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>
        <f>IF(B10="","",B10+30)</f>
        <v/>
      </c>
      <c r="M10" s="11" t="n"/>
      <c r="N10" s="11">
        <f>IF(OR(B10="",M10&lt;&gt;""),"",IF(TODAY()&gt;L10,"期限超過",""))</f>
        <v/>
      </c>
      <c r="O10" s="11" t="n"/>
      <c r="P10" s="11" t="n"/>
      <c r="Q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>
        <f>IF(B11="","",B11+30)</f>
        <v/>
      </c>
      <c r="M11" s="11" t="n"/>
      <c r="N11" s="11">
        <f>IF(OR(B11="",M11&lt;&gt;""),"",IF(TODAY()&gt;L11,"期限超過",""))</f>
        <v/>
      </c>
      <c r="O11" s="11" t="n"/>
      <c r="P11" s="11" t="n"/>
      <c r="Q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>
        <f>IF(B12="","",B12+30)</f>
        <v/>
      </c>
      <c r="M12" s="11" t="n"/>
      <c r="N12" s="11">
        <f>IF(OR(B12="",M12&lt;&gt;""),"",IF(TODAY()&gt;L12,"期限超過",""))</f>
        <v/>
      </c>
      <c r="O12" s="11" t="n"/>
      <c r="P12" s="11" t="n"/>
      <c r="Q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>
        <f>IF(B13="","",B13+30)</f>
        <v/>
      </c>
      <c r="M13" s="11" t="n"/>
      <c r="N13" s="11">
        <f>IF(OR(B13="",M13&lt;&gt;""),"",IF(TODAY()&gt;L13,"期限超過",""))</f>
        <v/>
      </c>
      <c r="O13" s="11" t="n"/>
      <c r="P13" s="11" t="n"/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>
        <f>IF(B14="","",B14+30)</f>
        <v/>
      </c>
      <c r="M14" s="11" t="n"/>
      <c r="N14" s="11">
        <f>IF(OR(B14="",M14&lt;&gt;""),"",IF(TODAY()&gt;L14,"期限超過",""))</f>
        <v/>
      </c>
      <c r="O14" s="11" t="n"/>
      <c r="P14" s="11" t="n"/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>
        <f>IF(B15="","",B15+30)</f>
        <v/>
      </c>
      <c r="M15" s="11" t="n"/>
      <c r="N15" s="11">
        <f>IF(OR(B15="",M15&lt;&gt;""),"",IF(TODAY()&gt;L15,"期限超過",""))</f>
        <v/>
      </c>
      <c r="O15" s="11" t="n"/>
      <c r="P15" s="11" t="n"/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>
        <f>IF(B16="","",B16+30)</f>
        <v/>
      </c>
      <c r="M16" s="11" t="n"/>
      <c r="N16" s="11">
        <f>IF(OR(B16="",M16&lt;&gt;""),"",IF(TODAY()&gt;L16,"期限超過",""))</f>
        <v/>
      </c>
      <c r="O16" s="11" t="n"/>
      <c r="P16" s="11" t="n"/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>
        <f>IF(B17="","",B17+30)</f>
        <v/>
      </c>
      <c r="M17" s="11" t="n"/>
      <c r="N17" s="11">
        <f>IF(OR(B17="",M17&lt;&gt;""),"",IF(TODAY()&gt;L17,"期限超過",""))</f>
        <v/>
      </c>
      <c r="O17" s="11" t="n"/>
      <c r="P17" s="11" t="n"/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>
        <f>IF(B18="","",B18+30)</f>
        <v/>
      </c>
      <c r="M18" s="11" t="n"/>
      <c r="N18" s="11">
        <f>IF(OR(B18="",M18&lt;&gt;""),"",IF(TODAY()&gt;L18,"期限超過",""))</f>
        <v/>
      </c>
      <c r="O18" s="11" t="n"/>
      <c r="P18" s="11" t="n"/>
      <c r="Q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>
        <f>IF(B19="","",B19+30)</f>
        <v/>
      </c>
      <c r="M19" s="11" t="n"/>
      <c r="N19" s="11">
        <f>IF(OR(B19="",M19&lt;&gt;""),"",IF(TODAY()&gt;L19,"期限超過",""))</f>
        <v/>
      </c>
      <c r="O19" s="11" t="n"/>
      <c r="P19" s="11" t="n"/>
      <c r="Q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>
        <f>IF(B20="","",B20+30)</f>
        <v/>
      </c>
      <c r="M20" s="11" t="n"/>
      <c r="N20" s="11">
        <f>IF(OR(B20="",M20&lt;&gt;""),"",IF(TODAY()&gt;L20,"期限超過",""))</f>
        <v/>
      </c>
      <c r="O20" s="11" t="n"/>
      <c r="P20" s="11" t="n"/>
      <c r="Q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>
        <f>IF(B21="","",B21+30)</f>
        <v/>
      </c>
      <c r="M21" s="11" t="n"/>
      <c r="N21" s="11">
        <f>IF(OR(B21="",M21&lt;&gt;""),"",IF(TODAY()&gt;L21,"期限超過",""))</f>
        <v/>
      </c>
      <c r="O21" s="11" t="n"/>
      <c r="P21" s="11" t="n"/>
      <c r="Q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>
        <f>IF(B22="","",B22+30)</f>
        <v/>
      </c>
      <c r="M22" s="11" t="n"/>
      <c r="N22" s="11">
        <f>IF(OR(B22="",M22&lt;&gt;""),"",IF(TODAY()&gt;L22,"期限超過",""))</f>
        <v/>
      </c>
      <c r="O22" s="11" t="n"/>
      <c r="P22" s="11" t="n"/>
      <c r="Q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>
        <f>IF(B23="","",B23+30)</f>
        <v/>
      </c>
      <c r="M23" s="11" t="n"/>
      <c r="N23" s="11">
        <f>IF(OR(B23="",M23&lt;&gt;""),"",IF(TODAY()&gt;L23,"期限超過",""))</f>
        <v/>
      </c>
      <c r="O23" s="11" t="n"/>
      <c r="P23" s="11" t="n"/>
      <c r="Q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>
        <f>IF(B24="","",B24+30)</f>
        <v/>
      </c>
      <c r="M24" s="11" t="n"/>
      <c r="N24" s="11">
        <f>IF(OR(B24="",M24&lt;&gt;""),"",IF(TODAY()&gt;L24,"期限超過",""))</f>
        <v/>
      </c>
      <c r="O24" s="11" t="n"/>
      <c r="P24" s="11" t="n"/>
      <c r="Q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>
        <f>IF(B25="","",B25+30)</f>
        <v/>
      </c>
      <c r="M25" s="11" t="n"/>
      <c r="N25" s="11">
        <f>IF(OR(B25="",M25&lt;&gt;""),"",IF(TODAY()&gt;L25,"期限超過",""))</f>
        <v/>
      </c>
      <c r="O25" s="11" t="n"/>
      <c r="P25" s="11" t="n"/>
      <c r="Q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>
        <f>IF(B26="","",B26+30)</f>
        <v/>
      </c>
      <c r="M26" s="11" t="n"/>
      <c r="N26" s="11">
        <f>IF(OR(B26="",M26&lt;&gt;""),"",IF(TODAY()&gt;L26,"期限超過",""))</f>
        <v/>
      </c>
      <c r="O26" s="11" t="n"/>
      <c r="P26" s="11" t="n"/>
      <c r="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>
        <f>IF(B27="","",B27+30)</f>
        <v/>
      </c>
      <c r="M27" s="11" t="n"/>
      <c r="N27" s="11">
        <f>IF(OR(B27="",M27&lt;&gt;""),"",IF(TODAY()&gt;L27,"期限超過",""))</f>
        <v/>
      </c>
      <c r="O27" s="11" t="n"/>
      <c r="P27" s="11" t="n"/>
      <c r="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>
        <f>IF(B28="","",B28+30)</f>
        <v/>
      </c>
      <c r="M28" s="11" t="n"/>
      <c r="N28" s="11">
        <f>IF(OR(B28="",M28&lt;&gt;""),"",IF(TODAY()&gt;L28,"期限超過",""))</f>
        <v/>
      </c>
      <c r="O28" s="11" t="n"/>
      <c r="P28" s="11" t="n"/>
      <c r="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>
        <f>IF(B29="","",B29+30)</f>
        <v/>
      </c>
      <c r="M29" s="11" t="n"/>
      <c r="N29" s="11">
        <f>IF(OR(B29="",M29&lt;&gt;""),"",IF(TODAY()&gt;L29,"期限超過",""))</f>
        <v/>
      </c>
      <c r="O29" s="11" t="n"/>
      <c r="P29" s="11" t="n"/>
      <c r="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>
        <f>IF(B30="","",B30+30)</f>
        <v/>
      </c>
      <c r="M30" s="11" t="n"/>
      <c r="N30" s="11">
        <f>IF(OR(B30="",M30&lt;&gt;""),"",IF(TODAY()&gt;L30,"期限超過",""))</f>
        <v/>
      </c>
      <c r="O30" s="11" t="n"/>
      <c r="P30" s="11" t="n"/>
      <c r="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>
        <f>IF(B31="","",B31+30)</f>
        <v/>
      </c>
      <c r="M31" s="11" t="n"/>
      <c r="N31" s="11">
        <f>IF(OR(B31="",M31&lt;&gt;""),"",IF(TODAY()&gt;L31,"期限超過",""))</f>
        <v/>
      </c>
      <c r="O31" s="11" t="n"/>
      <c r="P31" s="11" t="n"/>
      <c r="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>
        <f>IF(B32="","",B32+30)</f>
        <v/>
      </c>
      <c r="M32" s="11" t="n"/>
      <c r="N32" s="11">
        <f>IF(OR(B32="",M32&lt;&gt;""),"",IF(TODAY()&gt;L32,"期限超過",""))</f>
        <v/>
      </c>
      <c r="O32" s="11" t="n"/>
      <c r="P32" s="11" t="n"/>
      <c r="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>
        <f>IF(B33="","",B33+30)</f>
        <v/>
      </c>
      <c r="M33" s="11" t="n"/>
      <c r="N33" s="11">
        <f>IF(OR(B33="",M33&lt;&gt;""),"",IF(TODAY()&gt;L33,"期限超過",""))</f>
        <v/>
      </c>
      <c r="O33" s="11" t="n"/>
      <c r="P33" s="11" t="n"/>
      <c r="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>
        <f>IF(B34="","",B34+30)</f>
        <v/>
      </c>
      <c r="M34" s="11" t="n"/>
      <c r="N34" s="11">
        <f>IF(OR(B34="",M34&lt;&gt;""),"",IF(TODAY()&gt;L34,"期限超過",""))</f>
        <v/>
      </c>
      <c r="O34" s="11" t="n"/>
      <c r="P34" s="11" t="n"/>
      <c r="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>
        <f>IF(B35="","",B35+30)</f>
        <v/>
      </c>
      <c r="M35" s="11" t="n"/>
      <c r="N35" s="11">
        <f>IF(OR(B35="",M35&lt;&gt;""),"",IF(TODAY()&gt;L35,"期限超過",""))</f>
        <v/>
      </c>
      <c r="O35" s="11" t="n"/>
      <c r="P35" s="11" t="n"/>
      <c r="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>
        <f>IF(B36="","",B36+30)</f>
        <v/>
      </c>
      <c r="M36" s="11" t="n"/>
      <c r="N36" s="11">
        <f>IF(OR(B36="",M36&lt;&gt;""),"",IF(TODAY()&gt;L36,"期限超過",""))</f>
        <v/>
      </c>
      <c r="O36" s="11" t="n"/>
      <c r="P36" s="11" t="n"/>
      <c r="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>
        <f>IF(B37="","",B37+30)</f>
        <v/>
      </c>
      <c r="M37" s="11" t="n"/>
      <c r="N37" s="11">
        <f>IF(OR(B37="",M37&lt;&gt;""),"",IF(TODAY()&gt;L37,"期限超過",""))</f>
        <v/>
      </c>
      <c r="O37" s="11" t="n"/>
      <c r="P37" s="11" t="n"/>
      <c r="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>
        <f>IF(B38="","",B38+30)</f>
        <v/>
      </c>
      <c r="M38" s="11" t="n"/>
      <c r="N38" s="11">
        <f>IF(OR(B38="",M38&lt;&gt;""),"",IF(TODAY()&gt;L38,"期限超過",""))</f>
        <v/>
      </c>
      <c r="O38" s="11" t="n"/>
      <c r="P38" s="11" t="n"/>
      <c r="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>
        <f>IF(B39="","",B39+30)</f>
        <v/>
      </c>
      <c r="M39" s="11" t="n"/>
      <c r="N39" s="11">
        <f>IF(OR(B39="",M39&lt;&gt;""),"",IF(TODAY()&gt;L39,"期限超過",""))</f>
        <v/>
      </c>
      <c r="O39" s="11" t="n"/>
      <c r="P39" s="11" t="n"/>
      <c r="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>
        <f>IF(B40="","",B40+30)</f>
        <v/>
      </c>
      <c r="M40" s="11" t="n"/>
      <c r="N40" s="11">
        <f>IF(OR(B40="",M40&lt;&gt;""),"",IF(TODAY()&gt;L40,"期限超過",""))</f>
        <v/>
      </c>
      <c r="O40" s="11" t="n"/>
      <c r="P40" s="11" t="n"/>
      <c r="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>
        <f>IF(B41="","",B41+30)</f>
        <v/>
      </c>
      <c r="M41" s="11" t="n"/>
      <c r="N41" s="11">
        <f>IF(OR(B41="",M41&lt;&gt;""),"",IF(TODAY()&gt;L41,"期限超過",""))</f>
        <v/>
      </c>
      <c r="O41" s="11" t="n"/>
      <c r="P41" s="11" t="n"/>
      <c r="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>
        <f>IF(B42="","",B42+30)</f>
        <v/>
      </c>
      <c r="M42" s="11" t="n"/>
      <c r="N42" s="11">
        <f>IF(OR(B42="",M42&lt;&gt;""),"",IF(TODAY()&gt;L42,"期限超過",""))</f>
        <v/>
      </c>
      <c r="O42" s="11" t="n"/>
      <c r="P42" s="11" t="n"/>
      <c r="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>
        <f>IF(B43="","",B43+30)</f>
        <v/>
      </c>
      <c r="M43" s="11" t="n"/>
      <c r="N43" s="11">
        <f>IF(OR(B43="",M43&lt;&gt;""),"",IF(TODAY()&gt;L43,"期限超過",""))</f>
        <v/>
      </c>
      <c r="O43" s="11" t="n"/>
      <c r="P43" s="11" t="n"/>
      <c r="Q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>
        <f>IF(B44="","",B44+30)</f>
        <v/>
      </c>
      <c r="M44" s="11" t="n"/>
      <c r="N44" s="11">
        <f>IF(OR(B44="",M44&lt;&gt;""),"",IF(TODAY()&gt;L44,"期限超過",""))</f>
        <v/>
      </c>
      <c r="O44" s="11" t="n"/>
      <c r="P44" s="11" t="n"/>
      <c r="Q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>
        <f>IF(B45="","",B45+30)</f>
        <v/>
      </c>
      <c r="M45" s="11" t="n"/>
      <c r="N45" s="11">
        <f>IF(OR(B45="",M45&lt;&gt;""),"",IF(TODAY()&gt;L45,"期限超過",""))</f>
        <v/>
      </c>
      <c r="O45" s="11" t="n"/>
      <c r="P45" s="11" t="n"/>
      <c r="Q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>
        <f>IF(B46="","",B46+30)</f>
        <v/>
      </c>
      <c r="M46" s="11" t="n"/>
      <c r="N46" s="11">
        <f>IF(OR(B46="",M46&lt;&gt;""),"",IF(TODAY()&gt;L46,"期限超過",""))</f>
        <v/>
      </c>
      <c r="O46" s="11" t="n"/>
      <c r="P46" s="11" t="n"/>
      <c r="Q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>
        <f>IF(B47="","",B47+30)</f>
        <v/>
      </c>
      <c r="M47" s="11" t="n"/>
      <c r="N47" s="11">
        <f>IF(OR(B47="",M47&lt;&gt;""),"",IF(TODAY()&gt;L47,"期限超過",""))</f>
        <v/>
      </c>
      <c r="O47" s="11" t="n"/>
      <c r="P47" s="11" t="n"/>
      <c r="Q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>
        <f>IF(B48="","",B48+30)</f>
        <v/>
      </c>
      <c r="M48" s="11" t="n"/>
      <c r="N48" s="11">
        <f>IF(OR(B48="",M48&lt;&gt;""),"",IF(TODAY()&gt;L48,"期限超過",""))</f>
        <v/>
      </c>
      <c r="O48" s="11" t="n"/>
      <c r="P48" s="11" t="n"/>
      <c r="Q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>
        <f>IF(B49="","",B49+30)</f>
        <v/>
      </c>
      <c r="M49" s="11" t="n"/>
      <c r="N49" s="11">
        <f>IF(OR(B49="",M49&lt;&gt;""),"",IF(TODAY()&gt;L49,"期限超過",""))</f>
        <v/>
      </c>
      <c r="O49" s="11" t="n"/>
      <c r="P49" s="11" t="n"/>
      <c r="Q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>
        <f>IF(B50="","",B50+30)</f>
        <v/>
      </c>
      <c r="M50" s="11" t="n"/>
      <c r="N50" s="11">
        <f>IF(OR(B50="",M50&lt;&gt;""),"",IF(TODAY()&gt;L50,"期限超過",""))</f>
        <v/>
      </c>
      <c r="O50" s="11" t="n"/>
      <c r="P50" s="11" t="n"/>
      <c r="Q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>
        <f>IF(B51="","",B51+30)</f>
        <v/>
      </c>
      <c r="M51" s="11" t="n"/>
      <c r="N51" s="11">
        <f>IF(OR(B51="",M51&lt;&gt;""),"",IF(TODAY()&gt;L51,"期限超過",""))</f>
        <v/>
      </c>
      <c r="O51" s="11" t="n"/>
      <c r="P51" s="11" t="n"/>
      <c r="Q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>
        <f>IF(B52="","",B52+30)</f>
        <v/>
      </c>
      <c r="M52" s="11" t="n"/>
      <c r="N52" s="11">
        <f>IF(OR(B52="",M52&lt;&gt;""),"",IF(TODAY()&gt;L52,"期限超過",""))</f>
        <v/>
      </c>
      <c r="O52" s="11" t="n"/>
      <c r="P52" s="11" t="n"/>
      <c r="Q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>
        <f>IF(B53="","",B53+30)</f>
        <v/>
      </c>
      <c r="M53" s="11" t="n"/>
      <c r="N53" s="11">
        <f>IF(OR(B53="",M53&lt;&gt;""),"",IF(TODAY()&gt;L53,"期限超過",""))</f>
        <v/>
      </c>
      <c r="O53" s="11" t="n"/>
      <c r="P53" s="11" t="n"/>
      <c r="Q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>
        <f>IF(B54="","",B54+30)</f>
        <v/>
      </c>
      <c r="M54" s="11" t="n"/>
      <c r="N54" s="11">
        <f>IF(OR(B54="",M54&lt;&gt;""),"",IF(TODAY()&gt;L54,"期限超過",""))</f>
        <v/>
      </c>
      <c r="O54" s="11" t="n"/>
      <c r="P54" s="11" t="n"/>
      <c r="Q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>
        <f>IF(B55="","",B55+30)</f>
        <v/>
      </c>
      <c r="M55" s="11" t="n"/>
      <c r="N55" s="11">
        <f>IF(OR(B55="",M55&lt;&gt;""),"",IF(TODAY()&gt;L55,"期限超過",""))</f>
        <v/>
      </c>
      <c r="O55" s="11" t="n"/>
      <c r="P55" s="11" t="n"/>
      <c r="Q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>
        <f>IF(B56="","",B56+30)</f>
        <v/>
      </c>
      <c r="M56" s="11" t="n"/>
      <c r="N56" s="11">
        <f>IF(OR(B56="",M56&lt;&gt;""),"",IF(TODAY()&gt;L56,"期限超過",""))</f>
        <v/>
      </c>
      <c r="O56" s="11" t="n"/>
      <c r="P56" s="11" t="n"/>
      <c r="Q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>
        <f>IF(B57="","",B57+30)</f>
        <v/>
      </c>
      <c r="M57" s="11" t="n"/>
      <c r="N57" s="11">
        <f>IF(OR(B57="",M57&lt;&gt;""),"",IF(TODAY()&gt;L57,"期限超過",""))</f>
        <v/>
      </c>
      <c r="O57" s="11" t="n"/>
      <c r="P57" s="11" t="n"/>
      <c r="Q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>
        <f>IF(B58="","",B58+30)</f>
        <v/>
      </c>
      <c r="M58" s="11" t="n"/>
      <c r="N58" s="11">
        <f>IF(OR(B58="",M58&lt;&gt;""),"",IF(TODAY()&gt;L58,"期限超過",""))</f>
        <v/>
      </c>
      <c r="O58" s="11" t="n"/>
      <c r="P58" s="11" t="n"/>
      <c r="Q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>
        <f>IF(B59="","",B59+30)</f>
        <v/>
      </c>
      <c r="M59" s="11" t="n"/>
      <c r="N59" s="11">
        <f>IF(OR(B59="",M59&lt;&gt;""),"",IF(TODAY()&gt;L59,"期限超過",""))</f>
        <v/>
      </c>
      <c r="O59" s="11" t="n"/>
      <c r="P59" s="11" t="n"/>
      <c r="Q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>
        <f>IF(B60="","",B60+30)</f>
        <v/>
      </c>
      <c r="M60" s="11" t="n"/>
      <c r="N60" s="11">
        <f>IF(OR(B60="",M60&lt;&gt;""),"",IF(TODAY()&gt;L60,"期限超過",""))</f>
        <v/>
      </c>
      <c r="O60" s="11" t="n"/>
      <c r="P60" s="11" t="n"/>
      <c r="Q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>
        <f>IF(B61="","",B61+30)</f>
        <v/>
      </c>
      <c r="M61" s="11" t="n"/>
      <c r="N61" s="11">
        <f>IF(OR(B61="",M61&lt;&gt;""),"",IF(TODAY()&gt;L61,"期限超過",""))</f>
        <v/>
      </c>
      <c r="O61" s="11" t="n"/>
      <c r="P61" s="11" t="n"/>
      <c r="Q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>
        <f>IF(B62="","",B62+30)</f>
        <v/>
      </c>
      <c r="M62" s="11" t="n"/>
      <c r="N62" s="11">
        <f>IF(OR(B62="",M62&lt;&gt;""),"",IF(TODAY()&gt;L62,"期限超過",""))</f>
        <v/>
      </c>
      <c r="O62" s="11" t="n"/>
      <c r="P62" s="11" t="n"/>
      <c r="Q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>
        <f>IF(B63="","",B63+30)</f>
        <v/>
      </c>
      <c r="M63" s="11" t="n"/>
      <c r="N63" s="11">
        <f>IF(OR(B63="",M63&lt;&gt;""),"",IF(TODAY()&gt;L63,"期限超過",""))</f>
        <v/>
      </c>
      <c r="O63" s="11" t="n"/>
      <c r="P63" s="11" t="n"/>
      <c r="Q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>
        <f>IF(B64="","",B64+30)</f>
        <v/>
      </c>
      <c r="M64" s="11" t="n"/>
      <c r="N64" s="11">
        <f>IF(OR(B64="",M64&lt;&gt;""),"",IF(TODAY()&gt;L64,"期限超過",""))</f>
        <v/>
      </c>
      <c r="O64" s="11" t="n"/>
      <c r="P64" s="11" t="n"/>
      <c r="Q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>
        <f>IF(B65="","",B65+30)</f>
        <v/>
      </c>
      <c r="M65" s="11" t="n"/>
      <c r="N65" s="11">
        <f>IF(OR(B65="",M65&lt;&gt;""),"",IF(TODAY()&gt;L65,"期限超過",""))</f>
        <v/>
      </c>
      <c r="O65" s="11" t="n"/>
      <c r="P65" s="11" t="n"/>
      <c r="Q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>
        <f>IF(B66="","",B66+30)</f>
        <v/>
      </c>
      <c r="M66" s="11" t="n"/>
      <c r="N66" s="11">
        <f>IF(OR(B66="",M66&lt;&gt;""),"",IF(TODAY()&gt;L66,"期限超過",""))</f>
        <v/>
      </c>
      <c r="O66" s="11" t="n"/>
      <c r="P66" s="11" t="n"/>
      <c r="Q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>
        <f>IF(B67="","",B67+30)</f>
        <v/>
      </c>
      <c r="M67" s="11" t="n"/>
      <c r="N67" s="11">
        <f>IF(OR(B67="",M67&lt;&gt;""),"",IF(TODAY()&gt;L67,"期限超過",""))</f>
        <v/>
      </c>
      <c r="O67" s="11" t="n"/>
      <c r="P67" s="11" t="n"/>
      <c r="Q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>
        <f>IF(B68="","",B68+30)</f>
        <v/>
      </c>
      <c r="M68" s="11" t="n"/>
      <c r="N68" s="11">
        <f>IF(OR(B68="",M68&lt;&gt;""),"",IF(TODAY()&gt;L68,"期限超過",""))</f>
        <v/>
      </c>
      <c r="O68" s="11" t="n"/>
      <c r="P68" s="11" t="n"/>
      <c r="Q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>
        <f>IF(B69="","",B69+30)</f>
        <v/>
      </c>
      <c r="M69" s="11" t="n"/>
      <c r="N69" s="11">
        <f>IF(OR(B69="",M69&lt;&gt;""),"",IF(TODAY()&gt;L69,"期限超過",""))</f>
        <v/>
      </c>
      <c r="O69" s="11" t="n"/>
      <c r="P69" s="11" t="n"/>
      <c r="Q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>
        <f>IF(B70="","",B70+30)</f>
        <v/>
      </c>
      <c r="M70" s="11" t="n"/>
      <c r="N70" s="11">
        <f>IF(OR(B70="",M70&lt;&gt;""),"",IF(TODAY()&gt;L70,"期限超過",""))</f>
        <v/>
      </c>
      <c r="O70" s="11" t="n"/>
      <c r="P70" s="11" t="n"/>
      <c r="Q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>
        <f>IF(B71="","",B71+30)</f>
        <v/>
      </c>
      <c r="M71" s="11" t="n"/>
      <c r="N71" s="11">
        <f>IF(OR(B71="",M71&lt;&gt;""),"",IF(TODAY()&gt;L71,"期限超過",""))</f>
        <v/>
      </c>
      <c r="O71" s="11" t="n"/>
      <c r="P71" s="11" t="n"/>
      <c r="Q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>
        <f>IF(B72="","",B72+30)</f>
        <v/>
      </c>
      <c r="M72" s="11" t="n"/>
      <c r="N72" s="11">
        <f>IF(OR(B72="",M72&lt;&gt;""),"",IF(TODAY()&gt;L72,"期限超過",""))</f>
        <v/>
      </c>
      <c r="O72" s="11" t="n"/>
      <c r="P72" s="11" t="n"/>
      <c r="Q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>
        <f>IF(B73="","",B73+30)</f>
        <v/>
      </c>
      <c r="M73" s="11" t="n"/>
      <c r="N73" s="11">
        <f>IF(OR(B73="",M73&lt;&gt;""),"",IF(TODAY()&gt;L73,"期限超過",""))</f>
        <v/>
      </c>
      <c r="O73" s="11" t="n"/>
      <c r="P73" s="11" t="n"/>
      <c r="Q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>
        <f>IF(B74="","",B74+30)</f>
        <v/>
      </c>
      <c r="M74" s="11" t="n"/>
      <c r="N74" s="11">
        <f>IF(OR(B74="",M74&lt;&gt;""),"",IF(TODAY()&gt;L74,"期限超過",""))</f>
        <v/>
      </c>
      <c r="O74" s="11" t="n"/>
      <c r="P74" s="11" t="n"/>
      <c r="Q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>
        <f>IF(B75="","",B75+30)</f>
        <v/>
      </c>
      <c r="M75" s="11" t="n"/>
      <c r="N75" s="11">
        <f>IF(OR(B75="",M75&lt;&gt;""),"",IF(TODAY()&gt;L75,"期限超過",""))</f>
        <v/>
      </c>
      <c r="O75" s="11" t="n"/>
      <c r="P75" s="11" t="n"/>
      <c r="Q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>
        <f>IF(B76="","",B76+30)</f>
        <v/>
      </c>
      <c r="M76" s="11" t="n"/>
      <c r="N76" s="11">
        <f>IF(OR(B76="",M76&lt;&gt;""),"",IF(TODAY()&gt;L76,"期限超過",""))</f>
        <v/>
      </c>
      <c r="O76" s="11" t="n"/>
      <c r="P76" s="11" t="n"/>
      <c r="Q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>
        <f>IF(B77="","",B77+30)</f>
        <v/>
      </c>
      <c r="M77" s="11" t="n"/>
      <c r="N77" s="11">
        <f>IF(OR(B77="",M77&lt;&gt;""),"",IF(TODAY()&gt;L77,"期限超過",""))</f>
        <v/>
      </c>
      <c r="O77" s="11" t="n"/>
      <c r="P77" s="11" t="n"/>
      <c r="Q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>
        <f>IF(B78="","",B78+30)</f>
        <v/>
      </c>
      <c r="M78" s="11" t="n"/>
      <c r="N78" s="11">
        <f>IF(OR(B78="",M78&lt;&gt;""),"",IF(TODAY()&gt;L78,"期限超過",""))</f>
        <v/>
      </c>
      <c r="O78" s="11" t="n"/>
      <c r="P78" s="11" t="n"/>
      <c r="Q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>
        <f>IF(B79="","",B79+30)</f>
        <v/>
      </c>
      <c r="M79" s="11" t="n"/>
      <c r="N79" s="11">
        <f>IF(OR(B79="",M79&lt;&gt;""),"",IF(TODAY()&gt;L79,"期限超過",""))</f>
        <v/>
      </c>
      <c r="O79" s="11" t="n"/>
      <c r="P79" s="11" t="n"/>
      <c r="Q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>
        <f>IF(B80="","",B80+30)</f>
        <v/>
      </c>
      <c r="M80" s="11" t="n"/>
      <c r="N80" s="11">
        <f>IF(OR(B80="",M80&lt;&gt;""),"",IF(TODAY()&gt;L80,"期限超過",""))</f>
        <v/>
      </c>
      <c r="O80" s="11" t="n"/>
      <c r="P80" s="11" t="n"/>
      <c r="Q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>
        <f>IF(B81="","",B81+30)</f>
        <v/>
      </c>
      <c r="M81" s="11" t="n"/>
      <c r="N81" s="11">
        <f>IF(OR(B81="",M81&lt;&gt;""),"",IF(TODAY()&gt;L81,"期限超過",""))</f>
        <v/>
      </c>
      <c r="O81" s="11" t="n"/>
      <c r="P81" s="11" t="n"/>
      <c r="Q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>
        <f>IF(B82="","",B82+30)</f>
        <v/>
      </c>
      <c r="M82" s="11" t="n"/>
      <c r="N82" s="11">
        <f>IF(OR(B82="",M82&lt;&gt;""),"",IF(TODAY()&gt;L82,"期限超過",""))</f>
        <v/>
      </c>
      <c r="O82" s="11" t="n"/>
      <c r="P82" s="11" t="n"/>
      <c r="Q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>
        <f>IF(B83="","",B83+30)</f>
        <v/>
      </c>
      <c r="M83" s="11" t="n"/>
      <c r="N83" s="11">
        <f>IF(OR(B83="",M83&lt;&gt;""),"",IF(TODAY()&gt;L83,"期限超過",""))</f>
        <v/>
      </c>
      <c r="O83" s="11" t="n"/>
      <c r="P83" s="11" t="n"/>
      <c r="Q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>
        <f>IF(B84="","",B84+30)</f>
        <v/>
      </c>
      <c r="M84" s="11" t="n"/>
      <c r="N84" s="11">
        <f>IF(OR(B84="",M84&lt;&gt;""),"",IF(TODAY()&gt;L84,"期限超過",""))</f>
        <v/>
      </c>
      <c r="O84" s="11" t="n"/>
      <c r="P84" s="11" t="n"/>
      <c r="Q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>
        <f>IF(B85="","",B85+30)</f>
        <v/>
      </c>
      <c r="M85" s="11" t="n"/>
      <c r="N85" s="11">
        <f>IF(OR(B85="",M85&lt;&gt;""),"",IF(TODAY()&gt;L85,"期限超過",""))</f>
        <v/>
      </c>
      <c r="O85" s="11" t="n"/>
      <c r="P85" s="11" t="n"/>
      <c r="Q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>
        <f>IF(B86="","",B86+30)</f>
        <v/>
      </c>
      <c r="M86" s="11" t="n"/>
      <c r="N86" s="11">
        <f>IF(OR(B86="",M86&lt;&gt;""),"",IF(TODAY()&gt;L86,"期限超過",""))</f>
        <v/>
      </c>
      <c r="O86" s="11" t="n"/>
      <c r="P86" s="11" t="n"/>
      <c r="Q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>
        <f>IF(B87="","",B87+30)</f>
        <v/>
      </c>
      <c r="M87" s="11" t="n"/>
      <c r="N87" s="11">
        <f>IF(OR(B87="",M87&lt;&gt;""),"",IF(TODAY()&gt;L87,"期限超過",""))</f>
        <v/>
      </c>
      <c r="O87" s="11" t="n"/>
      <c r="P87" s="11" t="n"/>
      <c r="Q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>
        <f>IF(B88="","",B88+30)</f>
        <v/>
      </c>
      <c r="M88" s="11" t="n"/>
      <c r="N88" s="11">
        <f>IF(OR(B88="",M88&lt;&gt;""),"",IF(TODAY()&gt;L88,"期限超過",""))</f>
        <v/>
      </c>
      <c r="O88" s="11" t="n"/>
      <c r="P88" s="11" t="n"/>
      <c r="Q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>
        <f>IF(B89="","",B89+30)</f>
        <v/>
      </c>
      <c r="M89" s="11" t="n"/>
      <c r="N89" s="11">
        <f>IF(OR(B89="",M89&lt;&gt;""),"",IF(TODAY()&gt;L89,"期限超過",""))</f>
        <v/>
      </c>
      <c r="O89" s="11" t="n"/>
      <c r="P89" s="11" t="n"/>
      <c r="Q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>
        <f>IF(B90="","",B90+30)</f>
        <v/>
      </c>
      <c r="M90" s="11" t="n"/>
      <c r="N90" s="11">
        <f>IF(OR(B90="",M90&lt;&gt;""),"",IF(TODAY()&gt;L90,"期限超過",""))</f>
        <v/>
      </c>
      <c r="O90" s="11" t="n"/>
      <c r="P90" s="11" t="n"/>
      <c r="Q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>
        <f>IF(B91="","",B91+30)</f>
        <v/>
      </c>
      <c r="M91" s="11" t="n"/>
      <c r="N91" s="11">
        <f>IF(OR(B91="",M91&lt;&gt;""),"",IF(TODAY()&gt;L91,"期限超過",""))</f>
        <v/>
      </c>
      <c r="O91" s="11" t="n"/>
      <c r="P91" s="11" t="n"/>
      <c r="Q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>
        <f>IF(B92="","",B92+30)</f>
        <v/>
      </c>
      <c r="M92" s="11" t="n"/>
      <c r="N92" s="11">
        <f>IF(OR(B92="",M92&lt;&gt;""),"",IF(TODAY()&gt;L92,"期限超過",""))</f>
        <v/>
      </c>
      <c r="O92" s="11" t="n"/>
      <c r="P92" s="11" t="n"/>
      <c r="Q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>
        <f>IF(B93="","",B93+30)</f>
        <v/>
      </c>
      <c r="M93" s="11" t="n"/>
      <c r="N93" s="11">
        <f>IF(OR(B93="",M93&lt;&gt;""),"",IF(TODAY()&gt;L93,"期限超過",""))</f>
        <v/>
      </c>
      <c r="O93" s="11" t="n"/>
      <c r="P93" s="11" t="n"/>
      <c r="Q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>
        <f>IF(B94="","",B94+30)</f>
        <v/>
      </c>
      <c r="M94" s="11" t="n"/>
      <c r="N94" s="11">
        <f>IF(OR(B94="",M94&lt;&gt;""),"",IF(TODAY()&gt;L94,"期限超過",""))</f>
        <v/>
      </c>
      <c r="O94" s="11" t="n"/>
      <c r="P94" s="11" t="n"/>
      <c r="Q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>
        <f>IF(B95="","",B95+30)</f>
        <v/>
      </c>
      <c r="M95" s="11" t="n"/>
      <c r="N95" s="11">
        <f>IF(OR(B95="",M95&lt;&gt;""),"",IF(TODAY()&gt;L95,"期限超過",""))</f>
        <v/>
      </c>
      <c r="O95" s="11" t="n"/>
      <c r="P95" s="11" t="n"/>
      <c r="Q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>
        <f>IF(B96="","",B96+30)</f>
        <v/>
      </c>
      <c r="M96" s="11" t="n"/>
      <c r="N96" s="11">
        <f>IF(OR(B96="",M96&lt;&gt;""),"",IF(TODAY()&gt;L96,"期限超過",""))</f>
        <v/>
      </c>
      <c r="O96" s="11" t="n"/>
      <c r="P96" s="11" t="n"/>
      <c r="Q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>
        <f>IF(B97="","",B97+30)</f>
        <v/>
      </c>
      <c r="M97" s="11" t="n"/>
      <c r="N97" s="11">
        <f>IF(OR(B97="",M97&lt;&gt;""),"",IF(TODAY()&gt;L97,"期限超過",""))</f>
        <v/>
      </c>
      <c r="O97" s="11" t="n"/>
      <c r="P97" s="11" t="n"/>
      <c r="Q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>
        <f>IF(B98="","",B98+30)</f>
        <v/>
      </c>
      <c r="M98" s="11" t="n"/>
      <c r="N98" s="11">
        <f>IF(OR(B98="",M98&lt;&gt;""),"",IF(TODAY()&gt;L98,"期限超過",""))</f>
        <v/>
      </c>
      <c r="O98" s="11" t="n"/>
      <c r="P98" s="11" t="n"/>
      <c r="Q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>
        <f>IF(B99="","",B99+30)</f>
        <v/>
      </c>
      <c r="M99" s="11" t="n"/>
      <c r="N99" s="11">
        <f>IF(OR(B99="",M99&lt;&gt;""),"",IF(TODAY()&gt;L99,"期限超過",""))</f>
        <v/>
      </c>
      <c r="O99" s="11" t="n"/>
      <c r="P99" s="11" t="n"/>
      <c r="Q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>
        <f>IF(B100="","",B100+30)</f>
        <v/>
      </c>
      <c r="M100" s="11" t="n"/>
      <c r="N100" s="11">
        <f>IF(OR(B100="",M100&lt;&gt;""),"",IF(TODAY()&gt;L100,"期限超過",""))</f>
        <v/>
      </c>
      <c r="O100" s="11" t="n"/>
      <c r="P100" s="11" t="n"/>
      <c r="Q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>
        <f>IF(B101="","",B101+30)</f>
        <v/>
      </c>
      <c r="M101" s="11" t="n"/>
      <c r="N101" s="11">
        <f>IF(OR(B101="",M101&lt;&gt;""),"",IF(TODAY()&gt;L101,"期限超過",""))</f>
        <v/>
      </c>
      <c r="O101" s="11" t="n"/>
      <c r="P101" s="11" t="n"/>
      <c r="Q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>
        <f>IF(B102="","",B102+30)</f>
        <v/>
      </c>
      <c r="M102" s="11" t="n"/>
      <c r="N102" s="11">
        <f>IF(OR(B102="",M102&lt;&gt;""),"",IF(TODAY()&gt;L102,"期限超過",""))</f>
        <v/>
      </c>
      <c r="O102" s="11" t="n"/>
      <c r="P102" s="11" t="n"/>
      <c r="Q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>
        <f>IF(B103="","",B103+30)</f>
        <v/>
      </c>
      <c r="M103" s="11" t="n"/>
      <c r="N103" s="11">
        <f>IF(OR(B103="",M103&lt;&gt;""),"",IF(TODAY()&gt;L103,"期限超過",""))</f>
        <v/>
      </c>
      <c r="O103" s="11" t="n"/>
      <c r="P103" s="11" t="n"/>
      <c r="Q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>
        <f>IF(B104="","",B104+30)</f>
        <v/>
      </c>
      <c r="M104" s="11" t="n"/>
      <c r="N104" s="11">
        <f>IF(OR(B104="",M104&lt;&gt;""),"",IF(TODAY()&gt;L104,"期限超過",""))</f>
        <v/>
      </c>
      <c r="O104" s="11" t="n"/>
      <c r="P104" s="11" t="n"/>
      <c r="Q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>
        <f>IF(B105="","",B105+30)</f>
        <v/>
      </c>
      <c r="M105" s="11" t="n"/>
      <c r="N105" s="11">
        <f>IF(OR(B105="",M105&lt;&gt;""),"",IF(TODAY()&gt;L105,"期限超過",""))</f>
        <v/>
      </c>
      <c r="O105" s="11" t="n"/>
      <c r="P105" s="11" t="n"/>
      <c r="Q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>
        <f>IF(B106="","",B106+30)</f>
        <v/>
      </c>
      <c r="M106" s="11" t="n"/>
      <c r="N106" s="11">
        <f>IF(OR(B106="",M106&lt;&gt;""),"",IF(TODAY()&gt;L106,"期限超過",""))</f>
        <v/>
      </c>
      <c r="O106" s="11" t="n"/>
      <c r="P106" s="11" t="n"/>
      <c r="Q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>
        <f>IF(B107="","",B107+30)</f>
        <v/>
      </c>
      <c r="M107" s="11" t="n"/>
      <c r="N107" s="11">
        <f>IF(OR(B107="",M107&lt;&gt;""),"",IF(TODAY()&gt;L107,"期限超過",""))</f>
        <v/>
      </c>
      <c r="O107" s="11" t="n"/>
      <c r="P107" s="11" t="n"/>
      <c r="Q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>
        <f>IF(B108="","",B108+30)</f>
        <v/>
      </c>
      <c r="M108" s="11" t="n"/>
      <c r="N108" s="11">
        <f>IF(OR(B108="",M108&lt;&gt;""),"",IF(TODAY()&gt;L108,"期限超過",""))</f>
        <v/>
      </c>
      <c r="O108" s="11" t="n"/>
      <c r="P108" s="11" t="n"/>
      <c r="Q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>
        <f>IF(B109="","",B109+30)</f>
        <v/>
      </c>
      <c r="M109" s="11" t="n"/>
      <c r="N109" s="11">
        <f>IF(OR(B109="",M109&lt;&gt;""),"",IF(TODAY()&gt;L109,"期限超過",""))</f>
        <v/>
      </c>
      <c r="O109" s="11" t="n"/>
      <c r="P109" s="11" t="n"/>
      <c r="Q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>
        <f>IF(B110="","",B110+30)</f>
        <v/>
      </c>
      <c r="M110" s="11" t="n"/>
      <c r="N110" s="11">
        <f>IF(OR(B110="",M110&lt;&gt;""),"",IF(TODAY()&gt;L110,"期限超過",""))</f>
        <v/>
      </c>
      <c r="O110" s="11" t="n"/>
      <c r="P110" s="11" t="n"/>
      <c r="Q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>
        <f>IF(B111="","",B111+30)</f>
        <v/>
      </c>
      <c r="M111" s="11" t="n"/>
      <c r="N111" s="11">
        <f>IF(OR(B111="",M111&lt;&gt;""),"",IF(TODAY()&gt;L111,"期限超過",""))</f>
        <v/>
      </c>
      <c r="O111" s="11" t="n"/>
      <c r="P111" s="11" t="n"/>
      <c r="Q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>
        <f>IF(B112="","",B112+30)</f>
        <v/>
      </c>
      <c r="M112" s="11" t="n"/>
      <c r="N112" s="11">
        <f>IF(OR(B112="",M112&lt;&gt;""),"",IF(TODAY()&gt;L112,"期限超過",""))</f>
        <v/>
      </c>
      <c r="O112" s="11" t="n"/>
      <c r="P112" s="11" t="n"/>
      <c r="Q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>
        <f>IF(B113="","",B113+30)</f>
        <v/>
      </c>
      <c r="M113" s="11" t="n"/>
      <c r="N113" s="11">
        <f>IF(OR(B113="",M113&lt;&gt;""),"",IF(TODAY()&gt;L113,"期限超過",""))</f>
        <v/>
      </c>
      <c r="O113" s="11" t="n"/>
      <c r="P113" s="11" t="n"/>
      <c r="Q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>
        <f>IF(B114="","",B114+30)</f>
        <v/>
      </c>
      <c r="M114" s="11" t="n"/>
      <c r="N114" s="11">
        <f>IF(OR(B114="",M114&lt;&gt;""),"",IF(TODAY()&gt;L114,"期限超過",""))</f>
        <v/>
      </c>
      <c r="O114" s="11" t="n"/>
      <c r="P114" s="11" t="n"/>
      <c r="Q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>
        <f>IF(B115="","",B115+30)</f>
        <v/>
      </c>
      <c r="M115" s="11" t="n"/>
      <c r="N115" s="11">
        <f>IF(OR(B115="",M115&lt;&gt;""),"",IF(TODAY()&gt;L115,"期限超過",""))</f>
        <v/>
      </c>
      <c r="O115" s="11" t="n"/>
      <c r="P115" s="11" t="n"/>
      <c r="Q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>
        <f>IF(B116="","",B116+30)</f>
        <v/>
      </c>
      <c r="M116" s="11" t="n"/>
      <c r="N116" s="11">
        <f>IF(OR(B116="",M116&lt;&gt;""),"",IF(TODAY()&gt;L116,"期限超過",""))</f>
        <v/>
      </c>
      <c r="O116" s="11" t="n"/>
      <c r="P116" s="11" t="n"/>
      <c r="Q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>
        <f>IF(B117="","",B117+30)</f>
        <v/>
      </c>
      <c r="M117" s="11" t="n"/>
      <c r="N117" s="11">
        <f>IF(OR(B117="",M117&lt;&gt;""),"",IF(TODAY()&gt;L117,"期限超過",""))</f>
        <v/>
      </c>
      <c r="O117" s="11" t="n"/>
      <c r="P117" s="11" t="n"/>
      <c r="Q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>
        <f>IF(B118="","",B118+30)</f>
        <v/>
      </c>
      <c r="M118" s="11" t="n"/>
      <c r="N118" s="11">
        <f>IF(OR(B118="",M118&lt;&gt;""),"",IF(TODAY()&gt;L118,"期限超過",""))</f>
        <v/>
      </c>
      <c r="O118" s="11" t="n"/>
      <c r="P118" s="11" t="n"/>
      <c r="Q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>
        <f>IF(B119="","",B119+30)</f>
        <v/>
      </c>
      <c r="M119" s="11" t="n"/>
      <c r="N119" s="11">
        <f>IF(OR(B119="",M119&lt;&gt;""),"",IF(TODAY()&gt;L119,"期限超過",""))</f>
        <v/>
      </c>
      <c r="O119" s="11" t="n"/>
      <c r="P119" s="11" t="n"/>
      <c r="Q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>
        <f>IF(B120="","",B120+30)</f>
        <v/>
      </c>
      <c r="M120" s="11" t="n"/>
      <c r="N120" s="11">
        <f>IF(OR(B120="",M120&lt;&gt;""),"",IF(TODAY()&gt;L120,"期限超過",""))</f>
        <v/>
      </c>
      <c r="O120" s="11" t="n"/>
      <c r="P120" s="11" t="n"/>
      <c r="Q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>
        <f>IF(B121="","",B121+30)</f>
        <v/>
      </c>
      <c r="M121" s="11" t="n"/>
      <c r="N121" s="11">
        <f>IF(OR(B121="",M121&lt;&gt;""),"",IF(TODAY()&gt;L121,"期限超過",""))</f>
        <v/>
      </c>
      <c r="O121" s="11" t="n"/>
      <c r="P121" s="11" t="n"/>
      <c r="Q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>
        <f>IF(B122="","",B122+30)</f>
        <v/>
      </c>
      <c r="M122" s="11" t="n"/>
      <c r="N122" s="11">
        <f>IF(OR(B122="",M122&lt;&gt;""),"",IF(TODAY()&gt;L122,"期限超過",""))</f>
        <v/>
      </c>
      <c r="O122" s="11" t="n"/>
      <c r="P122" s="11" t="n"/>
      <c r="Q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>
        <f>IF(B123="","",B123+30)</f>
        <v/>
      </c>
      <c r="M123" s="11" t="n"/>
      <c r="N123" s="11">
        <f>IF(OR(B123="",M123&lt;&gt;""),"",IF(TODAY()&gt;L123,"期限超過",""))</f>
        <v/>
      </c>
      <c r="O123" s="11" t="n"/>
      <c r="P123" s="11" t="n"/>
      <c r="Q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>
        <f>IF(B124="","",B124+30)</f>
        <v/>
      </c>
      <c r="M124" s="11" t="n"/>
      <c r="N124" s="11">
        <f>IF(OR(B124="",M124&lt;&gt;""),"",IF(TODAY()&gt;L124,"期限超過",""))</f>
        <v/>
      </c>
      <c r="O124" s="11" t="n"/>
      <c r="P124" s="11" t="n"/>
      <c r="Q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>
        <f>IF(B125="","",B125+30)</f>
        <v/>
      </c>
      <c r="M125" s="11" t="n"/>
      <c r="N125" s="11">
        <f>IF(OR(B125="",M125&lt;&gt;""),"",IF(TODAY()&gt;L125,"期限超過",""))</f>
        <v/>
      </c>
      <c r="O125" s="11" t="n"/>
      <c r="P125" s="11" t="n"/>
      <c r="Q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>
        <f>IF(B126="","",B126+30)</f>
        <v/>
      </c>
      <c r="M126" s="11" t="n"/>
      <c r="N126" s="11">
        <f>IF(OR(B126="",M126&lt;&gt;""),"",IF(TODAY()&gt;L126,"期限超過",""))</f>
        <v/>
      </c>
      <c r="O126" s="11" t="n"/>
      <c r="P126" s="11" t="n"/>
      <c r="Q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>
        <f>IF(B127="","",B127+30)</f>
        <v/>
      </c>
      <c r="M127" s="11" t="n"/>
      <c r="N127" s="11">
        <f>IF(OR(B127="",M127&lt;&gt;""),"",IF(TODAY()&gt;L127,"期限超過",""))</f>
        <v/>
      </c>
      <c r="O127" s="11" t="n"/>
      <c r="P127" s="11" t="n"/>
      <c r="Q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>
        <f>IF(B128="","",B128+30)</f>
        <v/>
      </c>
      <c r="M128" s="11" t="n"/>
      <c r="N128" s="11">
        <f>IF(OR(B128="",M128&lt;&gt;""),"",IF(TODAY()&gt;L128,"期限超過",""))</f>
        <v/>
      </c>
      <c r="O128" s="11" t="n"/>
      <c r="P128" s="11" t="n"/>
      <c r="Q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>
        <f>IF(B129="","",B129+30)</f>
        <v/>
      </c>
      <c r="M129" s="11" t="n"/>
      <c r="N129" s="11">
        <f>IF(OR(B129="",M129&lt;&gt;""),"",IF(TODAY()&gt;L129,"期限超過",""))</f>
        <v/>
      </c>
      <c r="O129" s="11" t="n"/>
      <c r="P129" s="11" t="n"/>
      <c r="Q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>
        <f>IF(B130="","",B130+30)</f>
        <v/>
      </c>
      <c r="M130" s="11" t="n"/>
      <c r="N130" s="11">
        <f>IF(OR(B130="",M130&lt;&gt;""),"",IF(TODAY()&gt;L130,"期限超過",""))</f>
        <v/>
      </c>
      <c r="O130" s="11" t="n"/>
      <c r="P130" s="11" t="n"/>
      <c r="Q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>
        <f>IF(B131="","",B131+30)</f>
        <v/>
      </c>
      <c r="M131" s="11" t="n"/>
      <c r="N131" s="11">
        <f>IF(OR(B131="",M131&lt;&gt;""),"",IF(TODAY()&gt;L131,"期限超過",""))</f>
        <v/>
      </c>
      <c r="O131" s="11" t="n"/>
      <c r="P131" s="11" t="n"/>
      <c r="Q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>
        <f>IF(B132="","",B132+30)</f>
        <v/>
      </c>
      <c r="M132" s="11" t="n"/>
      <c r="N132" s="11">
        <f>IF(OR(B132="",M132&lt;&gt;""),"",IF(TODAY()&gt;L132,"期限超過",""))</f>
        <v/>
      </c>
      <c r="O132" s="11" t="n"/>
      <c r="P132" s="11" t="n"/>
      <c r="Q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>
        <f>IF(B133="","",B133+30)</f>
        <v/>
      </c>
      <c r="M133" s="11" t="n"/>
      <c r="N133" s="11">
        <f>IF(OR(B133="",M133&lt;&gt;""),"",IF(TODAY()&gt;L133,"期限超過",""))</f>
        <v/>
      </c>
      <c r="O133" s="11" t="n"/>
      <c r="P133" s="11" t="n"/>
      <c r="Q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>
        <f>IF(B134="","",B134+30)</f>
        <v/>
      </c>
      <c r="M134" s="11" t="n"/>
      <c r="N134" s="11">
        <f>IF(OR(B134="",M134&lt;&gt;""),"",IF(TODAY()&gt;L134,"期限超過",""))</f>
        <v/>
      </c>
      <c r="O134" s="11" t="n"/>
      <c r="P134" s="11" t="n"/>
      <c r="Q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>
        <f>IF(B135="","",B135+30)</f>
        <v/>
      </c>
      <c r="M135" s="11" t="n"/>
      <c r="N135" s="11">
        <f>IF(OR(B135="",M135&lt;&gt;""),"",IF(TODAY()&gt;L135,"期限超過",""))</f>
        <v/>
      </c>
      <c r="O135" s="11" t="n"/>
      <c r="P135" s="11" t="n"/>
      <c r="Q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>
        <f>IF(B136="","",B136+30)</f>
        <v/>
      </c>
      <c r="M136" s="11" t="n"/>
      <c r="N136" s="11">
        <f>IF(OR(B136="",M136&lt;&gt;""),"",IF(TODAY()&gt;L136,"期限超過",""))</f>
        <v/>
      </c>
      <c r="O136" s="11" t="n"/>
      <c r="P136" s="11" t="n"/>
      <c r="Q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>
        <f>IF(B137="","",B137+30)</f>
        <v/>
      </c>
      <c r="M137" s="11" t="n"/>
      <c r="N137" s="11">
        <f>IF(OR(B137="",M137&lt;&gt;""),"",IF(TODAY()&gt;L137,"期限超過",""))</f>
        <v/>
      </c>
      <c r="O137" s="11" t="n"/>
      <c r="P137" s="11" t="n"/>
      <c r="Q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>
        <f>IF(B138="","",B138+30)</f>
        <v/>
      </c>
      <c r="M138" s="11" t="n"/>
      <c r="N138" s="11">
        <f>IF(OR(B138="",M138&lt;&gt;""),"",IF(TODAY()&gt;L138,"期限超過",""))</f>
        <v/>
      </c>
      <c r="O138" s="11" t="n"/>
      <c r="P138" s="11" t="n"/>
      <c r="Q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>
        <f>IF(B139="","",B139+30)</f>
        <v/>
      </c>
      <c r="M139" s="11" t="n"/>
      <c r="N139" s="11">
        <f>IF(OR(B139="",M139&lt;&gt;""),"",IF(TODAY()&gt;L139,"期限超過",""))</f>
        <v/>
      </c>
      <c r="O139" s="11" t="n"/>
      <c r="P139" s="11" t="n"/>
      <c r="Q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>
        <f>IF(B140="","",B140+30)</f>
        <v/>
      </c>
      <c r="M140" s="11" t="n"/>
      <c r="N140" s="11">
        <f>IF(OR(B140="",M140&lt;&gt;""),"",IF(TODAY()&gt;L140,"期限超過",""))</f>
        <v/>
      </c>
      <c r="O140" s="11" t="n"/>
      <c r="P140" s="11" t="n"/>
      <c r="Q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>
        <f>IF(B141="","",B141+30)</f>
        <v/>
      </c>
      <c r="M141" s="11" t="n"/>
      <c r="N141" s="11">
        <f>IF(OR(B141="",M141&lt;&gt;""),"",IF(TODAY()&gt;L141,"期限超過",""))</f>
        <v/>
      </c>
      <c r="O141" s="11" t="n"/>
      <c r="P141" s="11" t="n"/>
      <c r="Q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>
        <f>IF(B142="","",B142+30)</f>
        <v/>
      </c>
      <c r="M142" s="11" t="n"/>
      <c r="N142" s="11">
        <f>IF(OR(B142="",M142&lt;&gt;""),"",IF(TODAY()&gt;L142,"期限超過",""))</f>
        <v/>
      </c>
      <c r="O142" s="11" t="n"/>
      <c r="P142" s="11" t="n"/>
      <c r="Q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>
        <f>IF(B143="","",B143+30)</f>
        <v/>
      </c>
      <c r="M143" s="11" t="n"/>
      <c r="N143" s="11">
        <f>IF(OR(B143="",M143&lt;&gt;""),"",IF(TODAY()&gt;L143,"期限超過",""))</f>
        <v/>
      </c>
      <c r="O143" s="11" t="n"/>
      <c r="P143" s="11" t="n"/>
      <c r="Q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>
        <f>IF(B144="","",B144+30)</f>
        <v/>
      </c>
      <c r="M144" s="11" t="n"/>
      <c r="N144" s="11">
        <f>IF(OR(B144="",M144&lt;&gt;""),"",IF(TODAY()&gt;L144,"期限超過",""))</f>
        <v/>
      </c>
      <c r="O144" s="11" t="n"/>
      <c r="P144" s="11" t="n"/>
      <c r="Q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>
        <f>IF(B145="","",B145+30)</f>
        <v/>
      </c>
      <c r="M145" s="11" t="n"/>
      <c r="N145" s="11">
        <f>IF(OR(B145="",M145&lt;&gt;""),"",IF(TODAY()&gt;L145,"期限超過",""))</f>
        <v/>
      </c>
      <c r="O145" s="11" t="n"/>
      <c r="P145" s="11" t="n"/>
      <c r="Q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>
        <f>IF(B146="","",B146+30)</f>
        <v/>
      </c>
      <c r="M146" s="11" t="n"/>
      <c r="N146" s="11">
        <f>IF(OR(B146="",M146&lt;&gt;""),"",IF(TODAY()&gt;L146,"期限超過",""))</f>
        <v/>
      </c>
      <c r="O146" s="11" t="n"/>
      <c r="P146" s="11" t="n"/>
      <c r="Q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>
        <f>IF(B147="","",B147+30)</f>
        <v/>
      </c>
      <c r="M147" s="11" t="n"/>
      <c r="N147" s="11">
        <f>IF(OR(B147="",M147&lt;&gt;""),"",IF(TODAY()&gt;L147,"期限超過",""))</f>
        <v/>
      </c>
      <c r="O147" s="11" t="n"/>
      <c r="P147" s="11" t="n"/>
      <c r="Q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>
        <f>IF(B148="","",B148+30)</f>
        <v/>
      </c>
      <c r="M148" s="11" t="n"/>
      <c r="N148" s="11">
        <f>IF(OR(B148="",M148&lt;&gt;""),"",IF(TODAY()&gt;L148,"期限超過",""))</f>
        <v/>
      </c>
      <c r="O148" s="11" t="n"/>
      <c r="P148" s="11" t="n"/>
      <c r="Q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>
        <f>IF(B149="","",B149+30)</f>
        <v/>
      </c>
      <c r="M149" s="11" t="n"/>
      <c r="N149" s="11">
        <f>IF(OR(B149="",M149&lt;&gt;""),"",IF(TODAY()&gt;L149,"期限超過",""))</f>
        <v/>
      </c>
      <c r="O149" s="11" t="n"/>
      <c r="P149" s="11" t="n"/>
      <c r="Q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>
        <f>IF(B150="","",B150+30)</f>
        <v/>
      </c>
      <c r="M150" s="11" t="n"/>
      <c r="N150" s="11">
        <f>IF(OR(B150="",M150&lt;&gt;""),"",IF(TODAY()&gt;L150,"期限超過",""))</f>
        <v/>
      </c>
      <c r="O150" s="11" t="n"/>
      <c r="P150" s="11" t="n"/>
      <c r="Q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>
        <f>IF(B151="","",B151+30)</f>
        <v/>
      </c>
      <c r="M151" s="11" t="n"/>
      <c r="N151" s="11">
        <f>IF(OR(B151="",M151&lt;&gt;""),"",IF(TODAY()&gt;L151,"期限超過",""))</f>
        <v/>
      </c>
      <c r="O151" s="11" t="n"/>
      <c r="P151" s="11" t="n"/>
      <c r="Q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>
        <f>IF(B152="","",B152+30)</f>
        <v/>
      </c>
      <c r="M152" s="11" t="n"/>
      <c r="N152" s="11">
        <f>IF(OR(B152="",M152&lt;&gt;""),"",IF(TODAY()&gt;L152,"期限超過",""))</f>
        <v/>
      </c>
      <c r="O152" s="11" t="n"/>
      <c r="P152" s="11" t="n"/>
      <c r="Q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>
        <f>IF(B153="","",B153+30)</f>
        <v/>
      </c>
      <c r="M153" s="11" t="n"/>
      <c r="N153" s="11">
        <f>IF(OR(B153="",M153&lt;&gt;""),"",IF(TODAY()&gt;L153,"期限超過",""))</f>
        <v/>
      </c>
      <c r="O153" s="11" t="n"/>
      <c r="P153" s="11" t="n"/>
      <c r="Q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>
        <f>IF(B154="","",B154+30)</f>
        <v/>
      </c>
      <c r="M154" s="11" t="n"/>
      <c r="N154" s="11">
        <f>IF(OR(B154="",M154&lt;&gt;""),"",IF(TODAY()&gt;L154,"期限超過",""))</f>
        <v/>
      </c>
      <c r="O154" s="11" t="n"/>
      <c r="P154" s="11" t="n"/>
      <c r="Q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>
        <f>IF(B155="","",B155+30)</f>
        <v/>
      </c>
      <c r="M155" s="11" t="n"/>
      <c r="N155" s="11">
        <f>IF(OR(B155="",M155&lt;&gt;""),"",IF(TODAY()&gt;L155,"期限超過",""))</f>
        <v/>
      </c>
      <c r="O155" s="11" t="n"/>
      <c r="P155" s="11" t="n"/>
      <c r="Q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>
        <f>IF(B156="","",B156+30)</f>
        <v/>
      </c>
      <c r="M156" s="11" t="n"/>
      <c r="N156" s="11">
        <f>IF(OR(B156="",M156&lt;&gt;""),"",IF(TODAY()&gt;L156,"期限超過",""))</f>
        <v/>
      </c>
      <c r="O156" s="11" t="n"/>
      <c r="P156" s="11" t="n"/>
      <c r="Q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>
        <f>IF(B157="","",B157+30)</f>
        <v/>
      </c>
      <c r="M157" s="11" t="n"/>
      <c r="N157" s="11">
        <f>IF(OR(B157="",M157&lt;&gt;""),"",IF(TODAY()&gt;L157,"期限超過",""))</f>
        <v/>
      </c>
      <c r="O157" s="11" t="n"/>
      <c r="P157" s="11" t="n"/>
      <c r="Q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>
        <f>IF(B158="","",B158+30)</f>
        <v/>
      </c>
      <c r="M158" s="11" t="n"/>
      <c r="N158" s="11">
        <f>IF(OR(B158="",M158&lt;&gt;""),"",IF(TODAY()&gt;L158,"期限超過",""))</f>
        <v/>
      </c>
      <c r="O158" s="11" t="n"/>
      <c r="P158" s="11" t="n"/>
      <c r="Q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>
        <f>IF(B159="","",B159+30)</f>
        <v/>
      </c>
      <c r="M159" s="11" t="n"/>
      <c r="N159" s="11">
        <f>IF(OR(B159="",M159&lt;&gt;""),"",IF(TODAY()&gt;L159,"期限超過",""))</f>
        <v/>
      </c>
      <c r="O159" s="11" t="n"/>
      <c r="P159" s="11" t="n"/>
      <c r="Q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>
        <f>IF(B160="","",B160+30)</f>
        <v/>
      </c>
      <c r="M160" s="11" t="n"/>
      <c r="N160" s="11">
        <f>IF(OR(B160="",M160&lt;&gt;""),"",IF(TODAY()&gt;L160,"期限超過",""))</f>
        <v/>
      </c>
      <c r="O160" s="11" t="n"/>
      <c r="P160" s="11" t="n"/>
      <c r="Q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>
        <f>IF(B161="","",B161+30)</f>
        <v/>
      </c>
      <c r="M161" s="11" t="n"/>
      <c r="N161" s="11">
        <f>IF(OR(B161="",M161&lt;&gt;""),"",IF(TODAY()&gt;L161,"期限超過",""))</f>
        <v/>
      </c>
      <c r="O161" s="11" t="n"/>
      <c r="P161" s="11" t="n"/>
      <c r="Q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>
        <f>IF(B162="","",B162+30)</f>
        <v/>
      </c>
      <c r="M162" s="11" t="n"/>
      <c r="N162" s="11">
        <f>IF(OR(B162="",M162&lt;&gt;""),"",IF(TODAY()&gt;L162,"期限超過",""))</f>
        <v/>
      </c>
      <c r="O162" s="11" t="n"/>
      <c r="P162" s="11" t="n"/>
      <c r="Q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>
        <f>IF(B163="","",B163+30)</f>
        <v/>
      </c>
      <c r="M163" s="11" t="n"/>
      <c r="N163" s="11">
        <f>IF(OR(B163="",M163&lt;&gt;""),"",IF(TODAY()&gt;L163,"期限超過",""))</f>
        <v/>
      </c>
      <c r="O163" s="11" t="n"/>
      <c r="P163" s="11" t="n"/>
      <c r="Q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>
        <f>IF(B164="","",B164+30)</f>
        <v/>
      </c>
      <c r="M164" s="11" t="n"/>
      <c r="N164" s="11">
        <f>IF(OR(B164="",M164&lt;&gt;""),"",IF(TODAY()&gt;L164,"期限超過",""))</f>
        <v/>
      </c>
      <c r="O164" s="11" t="n"/>
      <c r="P164" s="11" t="n"/>
      <c r="Q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>
        <f>IF(B165="","",B165+30)</f>
        <v/>
      </c>
      <c r="M165" s="11" t="n"/>
      <c r="N165" s="11">
        <f>IF(OR(B165="",M165&lt;&gt;""),"",IF(TODAY()&gt;L165,"期限超過",""))</f>
        <v/>
      </c>
      <c r="O165" s="11" t="n"/>
      <c r="P165" s="11" t="n"/>
      <c r="Q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>
        <f>IF(B166="","",B166+30)</f>
        <v/>
      </c>
      <c r="M166" s="11" t="n"/>
      <c r="N166" s="11">
        <f>IF(OR(B166="",M166&lt;&gt;""),"",IF(TODAY()&gt;L166,"期限超過",""))</f>
        <v/>
      </c>
      <c r="O166" s="11" t="n"/>
      <c r="P166" s="11" t="n"/>
      <c r="Q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>
        <f>IF(B167="","",B167+30)</f>
        <v/>
      </c>
      <c r="M167" s="11" t="n"/>
      <c r="N167" s="11">
        <f>IF(OR(B167="",M167&lt;&gt;""),"",IF(TODAY()&gt;L167,"期限超過",""))</f>
        <v/>
      </c>
      <c r="O167" s="11" t="n"/>
      <c r="P167" s="11" t="n"/>
      <c r="Q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>
        <f>IF(B168="","",B168+30)</f>
        <v/>
      </c>
      <c r="M168" s="11" t="n"/>
      <c r="N168" s="11">
        <f>IF(OR(B168="",M168&lt;&gt;""),"",IF(TODAY()&gt;L168,"期限超過",""))</f>
        <v/>
      </c>
      <c r="O168" s="11" t="n"/>
      <c r="P168" s="11" t="n"/>
      <c r="Q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>
        <f>IF(B169="","",B169+30)</f>
        <v/>
      </c>
      <c r="M169" s="11" t="n"/>
      <c r="N169" s="11">
        <f>IF(OR(B169="",M169&lt;&gt;""),"",IF(TODAY()&gt;L169,"期限超過",""))</f>
        <v/>
      </c>
      <c r="O169" s="11" t="n"/>
      <c r="P169" s="11" t="n"/>
      <c r="Q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>
        <f>IF(B170="","",B170+30)</f>
        <v/>
      </c>
      <c r="M170" s="11" t="n"/>
      <c r="N170" s="11">
        <f>IF(OR(B170="",M170&lt;&gt;""),"",IF(TODAY()&gt;L170,"期限超過",""))</f>
        <v/>
      </c>
      <c r="O170" s="11" t="n"/>
      <c r="P170" s="11" t="n"/>
      <c r="Q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>
        <f>IF(B171="","",B171+30)</f>
        <v/>
      </c>
      <c r="M171" s="11" t="n"/>
      <c r="N171" s="11">
        <f>IF(OR(B171="",M171&lt;&gt;""),"",IF(TODAY()&gt;L171,"期限超過",""))</f>
        <v/>
      </c>
      <c r="O171" s="11" t="n"/>
      <c r="P171" s="11" t="n"/>
      <c r="Q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>
        <f>IF(B172="","",B172+30)</f>
        <v/>
      </c>
      <c r="M172" s="11" t="n"/>
      <c r="N172" s="11">
        <f>IF(OR(B172="",M172&lt;&gt;""),"",IF(TODAY()&gt;L172,"期限超過",""))</f>
        <v/>
      </c>
      <c r="O172" s="11" t="n"/>
      <c r="P172" s="11" t="n"/>
      <c r="Q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>
        <f>IF(B173="","",B173+30)</f>
        <v/>
      </c>
      <c r="M173" s="11" t="n"/>
      <c r="N173" s="11">
        <f>IF(OR(B173="",M173&lt;&gt;""),"",IF(TODAY()&gt;L173,"期限超過",""))</f>
        <v/>
      </c>
      <c r="O173" s="11" t="n"/>
      <c r="P173" s="11" t="n"/>
      <c r="Q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>
        <f>IF(B174="","",B174+30)</f>
        <v/>
      </c>
      <c r="M174" s="11" t="n"/>
      <c r="N174" s="11">
        <f>IF(OR(B174="",M174&lt;&gt;""),"",IF(TODAY()&gt;L174,"期限超過",""))</f>
        <v/>
      </c>
      <c r="O174" s="11" t="n"/>
      <c r="P174" s="11" t="n"/>
      <c r="Q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>
        <f>IF(B175="","",B175+30)</f>
        <v/>
      </c>
      <c r="M175" s="11" t="n"/>
      <c r="N175" s="11">
        <f>IF(OR(B175="",M175&lt;&gt;""),"",IF(TODAY()&gt;L175,"期限超過",""))</f>
        <v/>
      </c>
      <c r="O175" s="11" t="n"/>
      <c r="P175" s="11" t="n"/>
      <c r="Q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>
        <f>IF(B176="","",B176+30)</f>
        <v/>
      </c>
      <c r="M176" s="11" t="n"/>
      <c r="N176" s="11">
        <f>IF(OR(B176="",M176&lt;&gt;""),"",IF(TODAY()&gt;L176,"期限超過",""))</f>
        <v/>
      </c>
      <c r="O176" s="11" t="n"/>
      <c r="P176" s="11" t="n"/>
      <c r="Q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>
        <f>IF(B177="","",B177+30)</f>
        <v/>
      </c>
      <c r="M177" s="11" t="n"/>
      <c r="N177" s="11">
        <f>IF(OR(B177="",M177&lt;&gt;""),"",IF(TODAY()&gt;L177,"期限超過",""))</f>
        <v/>
      </c>
      <c r="O177" s="11" t="n"/>
      <c r="P177" s="11" t="n"/>
      <c r="Q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>
        <f>IF(B178="","",B178+30)</f>
        <v/>
      </c>
      <c r="M178" s="11" t="n"/>
      <c r="N178" s="11">
        <f>IF(OR(B178="",M178&lt;&gt;""),"",IF(TODAY()&gt;L178,"期限超過",""))</f>
        <v/>
      </c>
      <c r="O178" s="11" t="n"/>
      <c r="P178" s="11" t="n"/>
      <c r="Q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>
        <f>IF(B179="","",B179+30)</f>
        <v/>
      </c>
      <c r="M179" s="11" t="n"/>
      <c r="N179" s="11">
        <f>IF(OR(B179="",M179&lt;&gt;""),"",IF(TODAY()&gt;L179,"期限超過",""))</f>
        <v/>
      </c>
      <c r="O179" s="11" t="n"/>
      <c r="P179" s="11" t="n"/>
      <c r="Q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>
        <f>IF(B180="","",B180+30)</f>
        <v/>
      </c>
      <c r="M180" s="11" t="n"/>
      <c r="N180" s="11">
        <f>IF(OR(B180="",M180&lt;&gt;""),"",IF(TODAY()&gt;L180,"期限超過",""))</f>
        <v/>
      </c>
      <c r="O180" s="11" t="n"/>
      <c r="P180" s="11" t="n"/>
      <c r="Q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>
        <f>IF(B181="","",B181+30)</f>
        <v/>
      </c>
      <c r="M181" s="11" t="n"/>
      <c r="N181" s="11">
        <f>IF(OR(B181="",M181&lt;&gt;""),"",IF(TODAY()&gt;L181,"期限超過",""))</f>
        <v/>
      </c>
      <c r="O181" s="11" t="n"/>
      <c r="P181" s="11" t="n"/>
      <c r="Q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>
        <f>IF(B182="","",B182+30)</f>
        <v/>
      </c>
      <c r="M182" s="11" t="n"/>
      <c r="N182" s="11">
        <f>IF(OR(B182="",M182&lt;&gt;""),"",IF(TODAY()&gt;L182,"期限超過",""))</f>
        <v/>
      </c>
      <c r="O182" s="11" t="n"/>
      <c r="P182" s="11" t="n"/>
      <c r="Q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>
        <f>IF(B183="","",B183+30)</f>
        <v/>
      </c>
      <c r="M183" s="11" t="n"/>
      <c r="N183" s="11">
        <f>IF(OR(B183="",M183&lt;&gt;""),"",IF(TODAY()&gt;L183,"期限超過",""))</f>
        <v/>
      </c>
      <c r="O183" s="11" t="n"/>
      <c r="P183" s="11" t="n"/>
      <c r="Q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>
        <f>IF(B184="","",B184+30)</f>
        <v/>
      </c>
      <c r="M184" s="11" t="n"/>
      <c r="N184" s="11">
        <f>IF(OR(B184="",M184&lt;&gt;""),"",IF(TODAY()&gt;L184,"期限超過",""))</f>
        <v/>
      </c>
      <c r="O184" s="11" t="n"/>
      <c r="P184" s="11" t="n"/>
      <c r="Q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>
        <f>IF(B185="","",B185+30)</f>
        <v/>
      </c>
      <c r="M185" s="11" t="n"/>
      <c r="N185" s="11">
        <f>IF(OR(B185="",M185&lt;&gt;""),"",IF(TODAY()&gt;L185,"期限超過",""))</f>
        <v/>
      </c>
      <c r="O185" s="11" t="n"/>
      <c r="P185" s="11" t="n"/>
      <c r="Q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>
        <f>IF(B186="","",B186+30)</f>
        <v/>
      </c>
      <c r="M186" s="11" t="n"/>
      <c r="N186" s="11">
        <f>IF(OR(B186="",M186&lt;&gt;""),"",IF(TODAY()&gt;L186,"期限超過",""))</f>
        <v/>
      </c>
      <c r="O186" s="11" t="n"/>
      <c r="P186" s="11" t="n"/>
      <c r="Q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>
        <f>IF(B187="","",B187+30)</f>
        <v/>
      </c>
      <c r="M187" s="11" t="n"/>
      <c r="N187" s="11">
        <f>IF(OR(B187="",M187&lt;&gt;""),"",IF(TODAY()&gt;L187,"期限超過",""))</f>
        <v/>
      </c>
      <c r="O187" s="11" t="n"/>
      <c r="P187" s="11" t="n"/>
      <c r="Q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>
        <f>IF(B188="","",B188+30)</f>
        <v/>
      </c>
      <c r="M188" s="11" t="n"/>
      <c r="N188" s="11">
        <f>IF(OR(B188="",M188&lt;&gt;""),"",IF(TODAY()&gt;L188,"期限超過",""))</f>
        <v/>
      </c>
      <c r="O188" s="11" t="n"/>
      <c r="P188" s="11" t="n"/>
      <c r="Q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>
        <f>IF(B189="","",B189+30)</f>
        <v/>
      </c>
      <c r="M189" s="11" t="n"/>
      <c r="N189" s="11">
        <f>IF(OR(B189="",M189&lt;&gt;""),"",IF(TODAY()&gt;L189,"期限超過",""))</f>
        <v/>
      </c>
      <c r="O189" s="11" t="n"/>
      <c r="P189" s="11" t="n"/>
      <c r="Q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>
        <f>IF(B190="","",B190+30)</f>
        <v/>
      </c>
      <c r="M190" s="11" t="n"/>
      <c r="N190" s="11">
        <f>IF(OR(B190="",M190&lt;&gt;""),"",IF(TODAY()&gt;L190,"期限超過",""))</f>
        <v/>
      </c>
      <c r="O190" s="11" t="n"/>
      <c r="P190" s="11" t="n"/>
      <c r="Q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>
        <f>IF(B191="","",B191+30)</f>
        <v/>
      </c>
      <c r="M191" s="11" t="n"/>
      <c r="N191" s="11">
        <f>IF(OR(B191="",M191&lt;&gt;""),"",IF(TODAY()&gt;L191,"期限超過",""))</f>
        <v/>
      </c>
      <c r="O191" s="11" t="n"/>
      <c r="P191" s="11" t="n"/>
      <c r="Q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>
        <f>IF(B192="","",B192+30)</f>
        <v/>
      </c>
      <c r="M192" s="11" t="n"/>
      <c r="N192" s="11">
        <f>IF(OR(B192="",M192&lt;&gt;""),"",IF(TODAY()&gt;L192,"期限超過",""))</f>
        <v/>
      </c>
      <c r="O192" s="11" t="n"/>
      <c r="P192" s="11" t="n"/>
      <c r="Q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>
        <f>IF(B193="","",B193+30)</f>
        <v/>
      </c>
      <c r="M193" s="11" t="n"/>
      <c r="N193" s="11">
        <f>IF(OR(B193="",M193&lt;&gt;""),"",IF(TODAY()&gt;L193,"期限超過",""))</f>
        <v/>
      </c>
      <c r="O193" s="11" t="n"/>
      <c r="P193" s="11" t="n"/>
      <c r="Q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>
        <f>IF(B194="","",B194+30)</f>
        <v/>
      </c>
      <c r="M194" s="11" t="n"/>
      <c r="N194" s="11">
        <f>IF(OR(B194="",M194&lt;&gt;""),"",IF(TODAY()&gt;L194,"期限超過",""))</f>
        <v/>
      </c>
      <c r="O194" s="11" t="n"/>
      <c r="P194" s="11" t="n"/>
      <c r="Q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>
        <f>IF(B195="","",B195+30)</f>
        <v/>
      </c>
      <c r="M195" s="11" t="n"/>
      <c r="N195" s="11">
        <f>IF(OR(B195="",M195&lt;&gt;""),"",IF(TODAY()&gt;L195,"期限超過",""))</f>
        <v/>
      </c>
      <c r="O195" s="11" t="n"/>
      <c r="P195" s="11" t="n"/>
      <c r="Q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>
        <f>IF(B196="","",B196+30)</f>
        <v/>
      </c>
      <c r="M196" s="11" t="n"/>
      <c r="N196" s="11">
        <f>IF(OR(B196="",M196&lt;&gt;""),"",IF(TODAY()&gt;L196,"期限超過",""))</f>
        <v/>
      </c>
      <c r="O196" s="11" t="n"/>
      <c r="P196" s="11" t="n"/>
      <c r="Q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>
        <f>IF(B197="","",B197+30)</f>
        <v/>
      </c>
      <c r="M197" s="11" t="n"/>
      <c r="N197" s="11">
        <f>IF(OR(B197="",M197&lt;&gt;""),"",IF(TODAY()&gt;L197,"期限超過",""))</f>
        <v/>
      </c>
      <c r="O197" s="11" t="n"/>
      <c r="P197" s="11" t="n"/>
      <c r="Q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>
        <f>IF(B198="","",B198+30)</f>
        <v/>
      </c>
      <c r="M198" s="11" t="n"/>
      <c r="N198" s="11">
        <f>IF(OR(B198="",M198&lt;&gt;""),"",IF(TODAY()&gt;L198,"期限超過",""))</f>
        <v/>
      </c>
      <c r="O198" s="11" t="n"/>
      <c r="P198" s="11" t="n"/>
      <c r="Q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>
        <f>IF(B199="","",B199+30)</f>
        <v/>
      </c>
      <c r="M199" s="11" t="n"/>
      <c r="N199" s="11">
        <f>IF(OR(B199="",M199&lt;&gt;""),"",IF(TODAY()&gt;L199,"期限超過",""))</f>
        <v/>
      </c>
      <c r="O199" s="11" t="n"/>
      <c r="P199" s="11" t="n"/>
      <c r="Q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>
        <f>IF(B200="","",B200+30)</f>
        <v/>
      </c>
      <c r="M200" s="11" t="n"/>
      <c r="N200" s="11">
        <f>IF(OR(B200="",M200&lt;&gt;""),"",IF(TODAY()&gt;L200,"期限超過",""))</f>
        <v/>
      </c>
      <c r="O200" s="11" t="n"/>
      <c r="P200" s="11" t="n"/>
      <c r="Q200" s="11" t="n"/>
    </row>
  </sheetData>
  <autoFilter ref="A1:Q200"/>
  <conditionalFormatting sqref="N2:N200">
    <cfRule type="expression" priority="1" dxfId="1">
      <formula>N2="期限超過"</formula>
    </cfRule>
  </conditionalFormatting>
  <dataValidations count="1">
    <dataValidation sqref="H2:H200" showDropDown="0" showInputMessage="0" showErrorMessage="0" allowBlank="1" type="list">
      <formula1>'マスタ設定'!$F$2:$F$9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24" customWidth="1" min="5" max="5"/>
    <col width="12" customWidth="1" min="6" max="6"/>
    <col width="20" customWidth="1" min="7" max="7"/>
    <col width="9" customWidth="1" min="8" max="8"/>
    <col width="10" customWidth="1" min="9" max="9"/>
    <col width="11" customWidth="1" min="10" max="10"/>
    <col width="11" customWidth="1" min="11" max="11"/>
    <col width="16" customWidth="1" min="12" max="12"/>
    <col width="20" customWidth="1" min="13" max="13"/>
  </cols>
  <sheetData>
    <row r="1" ht="28" customHeight="1">
      <c r="A1" s="10" t="inlineStr">
        <is>
          <t>顧客名</t>
        </is>
      </c>
      <c r="B1" s="10" t="inlineStr">
        <is>
          <t>営業領域</t>
        </is>
      </c>
      <c r="C1" s="10" t="inlineStr">
        <is>
          <t>最終取引年</t>
        </is>
      </c>
      <c r="D1" s="10" t="inlineStr">
        <is>
          <t>過去最大年間取引額(千円)</t>
        </is>
      </c>
      <c r="E1" s="10" t="inlineStr">
        <is>
          <t>休眠理由仮説</t>
        </is>
      </c>
      <c r="F1" s="10" t="inlineStr">
        <is>
          <t>再活性化ポテンシャル</t>
        </is>
      </c>
      <c r="G1" s="10" t="inlineStr">
        <is>
          <t>再アプローチ商材</t>
        </is>
      </c>
      <c r="H1" s="10" t="inlineStr">
        <is>
          <t>優先順位</t>
        </is>
      </c>
      <c r="I1" s="10" t="inlineStr">
        <is>
          <t>担当</t>
        </is>
      </c>
      <c r="J1" s="10" t="inlineStr">
        <is>
          <t>初回接触予定</t>
        </is>
      </c>
      <c r="K1" s="10" t="inlineStr">
        <is>
          <t>初回接触実施</t>
        </is>
      </c>
      <c r="L1" s="10" t="inlineStr">
        <is>
          <t>結果・状態</t>
        </is>
      </c>
      <c r="M1" s="10" t="inlineStr">
        <is>
          <t>メモ</t>
        </is>
      </c>
    </row>
    <row r="2">
      <c r="A2" s="11" t="inlineStr">
        <is>
          <t>（サンプル）アパレルD社</t>
        </is>
      </c>
      <c r="B2" s="11" t="inlineStr">
        <is>
          <t>ライセンス</t>
        </is>
      </c>
      <c r="C2" s="11" t="n">
        <v>2023</v>
      </c>
      <c r="D2" s="11" t="n">
        <v>45000</v>
      </c>
      <c r="E2" s="11" t="inlineStr">
        <is>
          <t>前回コラボ後、担当交代で疎遠に</t>
        </is>
      </c>
      <c r="F2" s="11" t="inlineStr">
        <is>
          <t>A</t>
        </is>
      </c>
      <c r="G2" s="11" t="inlineStr">
        <is>
          <t>新作映像連動コラボ／カードゲーム</t>
        </is>
      </c>
      <c r="H2" s="11" t="n">
        <v>1</v>
      </c>
      <c r="I2" s="11" t="inlineStr">
        <is>
          <t>担当者D</t>
        </is>
      </c>
      <c r="J2" s="11" t="inlineStr">
        <is>
          <t>2026-07-20</t>
        </is>
      </c>
      <c r="K2" s="11" t="inlineStr"/>
      <c r="L2" s="11" t="inlineStr"/>
      <c r="M2" s="11" t="inlineStr">
        <is>
          <t>サンプル行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</row>
  </sheetData>
  <autoFilter ref="A1:M200"/>
  <dataValidations count="2">
    <dataValidation sqref="B2:B200" showDropDown="0" showInputMessage="0" showErrorMessage="0" allowBlank="1" type="list">
      <formula1>'マスタ設定'!$A$2:$A$13</formula1>
    </dataValidation>
    <dataValidation sqref="F2:F200" showDropDown="0" showInputMessage="0" showErrorMessage="0" allowBlank="1" type="list">
      <formula1>'マスタ設定'!$L$2:$L$5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2026-07-04T09:55:44Z</dcterms:created>
  <dcterms:modified xmlns:dcterms="http://purl.org/dc/terms/" xmlns:xsi="http://www.w3.org/2001/XMLSchema-instance" xsi:type="dcterms:W3CDTF">2026-07-04T09:55:45Z</dcterms:modified>
</cp:coreProperties>
</file>