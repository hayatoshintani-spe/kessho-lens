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目標比" sheetId="1" r:id="rId5"/>
    <sheet state="visible" name="サマリ_目標、予算、前期比較" sheetId="2" r:id="rId6"/>
    <sheet state="visible" name="注記・確認事項" sheetId="3" r:id="rId7"/>
  </sheets>
  <definedNames/>
  <calcPr/>
</workbook>
</file>

<file path=xl/sharedStrings.xml><?xml version="1.0" encoding="utf-8"?>
<sst xmlns="http://schemas.openxmlformats.org/spreadsheetml/2006/main" count="160" uniqueCount="107">
  <si>
    <t>部門目標比サマリー（部門目標／通期見込／目標差）</t>
  </si>
  <si>
    <r>
      <rPr>
        <rFont val="Noto Sans CJK SC"/>
        <b/>
        <color theme="1"/>
        <sz val="10.0"/>
      </rPr>
      <t>【正本の確定（</t>
    </r>
    <r>
      <rPr>
        <rFont val="Meiryo UI"/>
        <b/>
        <color theme="1"/>
        <sz val="10.0"/>
      </rPr>
      <t xml:space="preserve">2026/8/13 </t>
    </r>
    <r>
      <rPr>
        <rFont val="Noto Sans CJK SC"/>
        <b/>
        <color theme="1"/>
        <sz val="10.0"/>
      </rPr>
      <t>柳沼さんメールにて解決）】</t>
    </r>
  </si>
  <si>
    <r>
      <rPr>
        <rFont val="Noto Sans CJK SC"/>
        <color rgb="FF808080"/>
        <sz val="9.0"/>
      </rPr>
      <t>単位：百万円｜正本：</t>
    </r>
    <r>
      <rPr>
        <rFont val="Meiryo UI"/>
        <color rgb="FF808080"/>
        <sz val="9.0"/>
      </rPr>
      <t>260813_</t>
    </r>
    <r>
      <rPr>
        <rFont val="Noto Sans CJK SC"/>
        <color rgb="FF808080"/>
        <sz val="9.0"/>
      </rPr>
      <t>【</t>
    </r>
    <r>
      <rPr>
        <rFont val="Meiryo UI"/>
        <color rgb="FF808080"/>
        <sz val="9.0"/>
      </rPr>
      <t>TPC</t>
    </r>
    <r>
      <rPr>
        <rFont val="Noto Sans CJK SC"/>
        <color rgb="FF808080"/>
        <sz val="9.0"/>
      </rPr>
      <t>】</t>
    </r>
    <r>
      <rPr>
        <rFont val="Meiryo UI"/>
        <color rgb="FF808080"/>
        <sz val="9.0"/>
      </rPr>
      <t>66</t>
    </r>
    <r>
      <rPr>
        <rFont val="Noto Sans CJK SC"/>
        <color rgb="FF808080"/>
        <sz val="9.0"/>
      </rPr>
      <t>期</t>
    </r>
    <r>
      <rPr>
        <rFont val="Meiryo UI"/>
        <color rgb="FF808080"/>
        <sz val="9.0"/>
      </rPr>
      <t>(FY26)</t>
    </r>
    <r>
      <rPr>
        <rFont val="Noto Sans CJK SC"/>
        <color rgb="FF808080"/>
        <sz val="9.0"/>
      </rPr>
      <t>予算実績比較表</t>
    </r>
    <r>
      <rPr>
        <rFont val="Meiryo UI"/>
        <color rgb="FF808080"/>
        <sz val="9.0"/>
      </rPr>
      <t>_</t>
    </r>
    <r>
      <rPr>
        <rFont val="Noto Sans CJK SC"/>
        <color rgb="FF808080"/>
        <sz val="9.0"/>
      </rPr>
      <t>販管費通期見込</t>
    </r>
    <r>
      <rPr>
        <rFont val="Meiryo UI"/>
        <color rgb="FF808080"/>
        <sz val="9.0"/>
      </rPr>
      <t>.xlsx</t>
    </r>
    <r>
      <rPr>
        <rFont val="Noto Sans CJK SC"/>
        <color rgb="FF808080"/>
        <sz val="9.0"/>
      </rPr>
      <t>（</t>
    </r>
    <r>
      <rPr>
        <rFont val="Meiryo UI"/>
        <color rgb="FF808080"/>
        <sz val="9.0"/>
      </rPr>
      <t>7</t>
    </r>
    <r>
      <rPr>
        <rFont val="Noto Sans CJK SC"/>
        <color rgb="FF808080"/>
        <sz val="9.0"/>
      </rPr>
      <t>月見込反映・着ぐるみ償却付替修正済み・柳沼さん</t>
    </r>
    <r>
      <rPr>
        <rFont val="Meiryo UI"/>
        <color rgb="FF808080"/>
        <sz val="9.0"/>
      </rPr>
      <t>2026/8/13</t>
    </r>
    <r>
      <rPr>
        <rFont val="Noto Sans CJK SC"/>
        <color rgb="FF808080"/>
        <sz val="9.0"/>
      </rPr>
      <t>確定）｜カード等は未更新（残課題）｜部門目標＝全社共通の実質予算（</t>
    </r>
    <r>
      <rPr>
        <rFont val="Meiryo UI"/>
        <color rgb="FF808080"/>
        <sz val="9.0"/>
      </rPr>
      <t>HD</t>
    </r>
    <r>
      <rPr>
        <rFont val="Noto Sans CJK SC"/>
        <color rgb="FF808080"/>
        <sz val="9.0"/>
      </rPr>
      <t>提出予算とは別）｜営業利益・販管費＝共通費配賦後</t>
    </r>
    <r>
      <rPr>
        <rFont val="Meiryo UI"/>
        <color rgb="FF808080"/>
        <sz val="9.0"/>
      </rPr>
      <t>P/L</t>
    </r>
  </si>
  <si>
    <r>
      <rPr>
        <rFont val="Noto Sans CJK SC"/>
        <b/>
        <color theme="1"/>
        <sz val="14.0"/>
      </rPr>
      <t xml:space="preserve">部門別 通期着地見込サマリー </t>
    </r>
    <r>
      <rPr>
        <rFont val="Meiryo UI"/>
        <b/>
        <color theme="1"/>
        <sz val="14.0"/>
      </rPr>
      <t>v7</t>
    </r>
    <r>
      <rPr>
        <rFont val="Noto Sans CJK SC"/>
        <b/>
        <color theme="1"/>
        <sz val="14.0"/>
      </rPr>
      <t>（</t>
    </r>
    <r>
      <rPr>
        <rFont val="Meiryo UI"/>
        <b/>
        <color theme="1"/>
        <sz val="14.0"/>
      </rPr>
      <t>66</t>
    </r>
    <r>
      <rPr>
        <rFont val="Noto Sans CJK SC"/>
        <b/>
        <color theme="1"/>
        <sz val="14.0"/>
      </rPr>
      <t>期／</t>
    </r>
    <r>
      <rPr>
        <rFont val="Meiryo UI"/>
        <b/>
        <color theme="1"/>
        <sz val="14.0"/>
      </rPr>
      <t>FY26</t>
    </r>
    <r>
      <rPr>
        <rFont val="Noto Sans CJK SC"/>
        <b/>
        <color theme="1"/>
        <sz val="14.0"/>
      </rPr>
      <t>）— 正本確定版（</t>
    </r>
    <r>
      <rPr>
        <rFont val="Meiryo UI"/>
        <b/>
        <color theme="1"/>
        <sz val="14.0"/>
      </rPr>
      <t>260813</t>
    </r>
    <r>
      <rPr>
        <rFont val="Noto Sans CJK SC"/>
        <b/>
        <color theme="1"/>
        <sz val="14.0"/>
      </rPr>
      <t>ファイル基準）</t>
    </r>
  </si>
  <si>
    <t>部門</t>
  </si>
  <si>
    <r>
      <rPr>
        <rFont val="Noto Sans CJK SC"/>
        <color theme="1"/>
        <sz val="10.0"/>
      </rPr>
      <t>・正本＝「</t>
    </r>
    <r>
      <rPr>
        <rFont val="Meiryo UI"/>
        <color theme="1"/>
        <sz val="10.0"/>
      </rPr>
      <t>260813_</t>
    </r>
    <r>
      <rPr>
        <rFont val="Noto Sans CJK SC"/>
        <color theme="1"/>
        <sz val="10.0"/>
      </rPr>
      <t>【</t>
    </r>
    <r>
      <rPr>
        <rFont val="Meiryo UI"/>
        <color theme="1"/>
        <sz val="10.0"/>
      </rPr>
      <t>TPC</t>
    </r>
    <r>
      <rPr>
        <rFont val="Noto Sans CJK SC"/>
        <color theme="1"/>
        <sz val="10.0"/>
      </rPr>
      <t>】</t>
    </r>
    <r>
      <rPr>
        <rFont val="Meiryo UI"/>
        <color theme="1"/>
        <sz val="10.0"/>
      </rPr>
      <t>66</t>
    </r>
    <r>
      <rPr>
        <rFont val="Noto Sans CJK SC"/>
        <color theme="1"/>
        <sz val="10.0"/>
      </rPr>
      <t>期</t>
    </r>
    <r>
      <rPr>
        <rFont val="Meiryo UI"/>
        <color theme="1"/>
        <sz val="10.0"/>
      </rPr>
      <t>(FY26)</t>
    </r>
    <r>
      <rPr>
        <rFont val="Noto Sans CJK SC"/>
        <color theme="1"/>
        <sz val="10.0"/>
      </rPr>
      <t>予算実績比較表</t>
    </r>
    <r>
      <rPr>
        <rFont val="Meiryo UI"/>
        <color theme="1"/>
        <sz val="10.0"/>
      </rPr>
      <t>_</t>
    </r>
    <r>
      <rPr>
        <rFont val="Noto Sans CJK SC"/>
        <color theme="1"/>
        <sz val="10.0"/>
      </rPr>
      <t>販管費通期見込</t>
    </r>
    <r>
      <rPr>
        <rFont val="Meiryo UI"/>
        <color theme="1"/>
        <sz val="10.0"/>
      </rPr>
      <t>.xlsx</t>
    </r>
    <r>
      <rPr>
        <rFont val="Noto Sans CJK SC"/>
        <color theme="1"/>
        <sz val="10.0"/>
      </rPr>
      <t>」。</t>
    </r>
    <r>
      <rPr>
        <rFont val="Meiryo UI"/>
        <color theme="1"/>
        <sz val="10.0"/>
      </rPr>
      <t>0812</t>
    </r>
    <r>
      <rPr>
        <rFont val="Noto Sans CJK SC"/>
        <color theme="1"/>
        <sz val="10.0"/>
      </rPr>
      <t>版は実は営業本部分の</t>
    </r>
    <r>
      <rPr>
        <rFont val="Meiryo UI"/>
        <color theme="1"/>
        <sz val="10.0"/>
      </rPr>
      <t>7</t>
    </r>
    <r>
      <rPr>
        <rFont val="Noto Sans CJK SC"/>
        <color theme="1"/>
        <sz val="10.0"/>
      </rPr>
      <t>月見込が反映済みだった（伝達漏れ）</t>
    </r>
  </si>
  <si>
    <r>
      <rPr>
        <rFont val="Noto Sans CJK SC"/>
        <color theme="1"/>
        <sz val="10.0"/>
      </rPr>
      <t>・</t>
    </r>
    <r>
      <rPr>
        <rFont val="Meiryo UI"/>
        <color theme="1"/>
        <sz val="10.0"/>
      </rPr>
      <t>260813</t>
    </r>
    <r>
      <rPr>
        <rFont val="Noto Sans CJK SC"/>
        <color theme="1"/>
        <sz val="10.0"/>
      </rPr>
      <t>版での修正：着ぐるみ償却費の計上部門を戦略プロジェクト→ライブへ付替た際の二重計上を解消（戦略</t>
    </r>
    <r>
      <rPr>
        <rFont val="Meiryo UI"/>
        <color theme="1"/>
        <sz val="10.0"/>
      </rPr>
      <t>PJ</t>
    </r>
    <r>
      <rPr>
        <rFont val="Noto Sans CJK SC"/>
        <color theme="1"/>
        <sz val="10.0"/>
      </rPr>
      <t>側の償却減、粗利</t>
    </r>
    <r>
      <rPr>
        <rFont val="Meiryo UI"/>
        <color theme="1"/>
        <sz val="10.0"/>
      </rPr>
      <t>+64</t>
    </r>
    <r>
      <rPr>
        <rFont val="Noto Sans CJK SC"/>
        <color theme="1"/>
        <sz val="10.0"/>
      </rPr>
      <t>）</t>
    </r>
  </si>
  <si>
    <t>売上高</t>
  </si>
  <si>
    <r>
      <rPr>
        <rFont val="Noto Sans CJK SC"/>
        <color rgb="FF808080"/>
        <sz val="9.0"/>
      </rPr>
      <t>単位：百万円｜正本：</t>
    </r>
    <r>
      <rPr>
        <rFont val="Meiryo UI"/>
        <color rgb="FF808080"/>
        <sz val="9.0"/>
      </rPr>
      <t>260813_</t>
    </r>
    <r>
      <rPr>
        <rFont val="Noto Sans CJK SC"/>
        <color rgb="FF808080"/>
        <sz val="9.0"/>
      </rPr>
      <t>【</t>
    </r>
    <r>
      <rPr>
        <rFont val="Meiryo UI"/>
        <color rgb="FF808080"/>
        <sz val="9.0"/>
      </rPr>
      <t>TPC</t>
    </r>
    <r>
      <rPr>
        <rFont val="Noto Sans CJK SC"/>
        <color rgb="FF808080"/>
        <sz val="9.0"/>
      </rPr>
      <t>】</t>
    </r>
    <r>
      <rPr>
        <rFont val="Meiryo UI"/>
        <color rgb="FF808080"/>
        <sz val="9.0"/>
      </rPr>
      <t>66</t>
    </r>
    <r>
      <rPr>
        <rFont val="Noto Sans CJK SC"/>
        <color rgb="FF808080"/>
        <sz val="9.0"/>
      </rPr>
      <t>期</t>
    </r>
    <r>
      <rPr>
        <rFont val="Meiryo UI"/>
        <color rgb="FF808080"/>
        <sz val="9.0"/>
      </rPr>
      <t>(FY26)</t>
    </r>
    <r>
      <rPr>
        <rFont val="Noto Sans CJK SC"/>
        <color rgb="FF808080"/>
        <sz val="9.0"/>
      </rPr>
      <t>予算実績比較表</t>
    </r>
    <r>
      <rPr>
        <rFont val="Meiryo UI"/>
        <color rgb="FF808080"/>
        <sz val="9.0"/>
      </rPr>
      <t>_</t>
    </r>
    <r>
      <rPr>
        <rFont val="Noto Sans CJK SC"/>
        <color rgb="FF808080"/>
        <sz val="9.0"/>
      </rPr>
      <t>販管費通期見込</t>
    </r>
    <r>
      <rPr>
        <rFont val="Meiryo UI"/>
        <color rgb="FF808080"/>
        <sz val="9.0"/>
      </rPr>
      <t>.xlsx</t>
    </r>
    <r>
      <rPr>
        <rFont val="Noto Sans CJK SC"/>
        <color rgb="FF808080"/>
        <sz val="9.0"/>
      </rPr>
      <t>（</t>
    </r>
    <r>
      <rPr>
        <rFont val="Meiryo UI"/>
        <color rgb="FF808080"/>
        <sz val="9.0"/>
      </rPr>
      <t>7</t>
    </r>
    <r>
      <rPr>
        <rFont val="Noto Sans CJK SC"/>
        <color rgb="FF808080"/>
        <sz val="9.0"/>
      </rPr>
      <t>月見込反映・着ぐるみ償却付替修正済み・柳沼さん</t>
    </r>
    <r>
      <rPr>
        <rFont val="Meiryo UI"/>
        <color rgb="FF808080"/>
        <sz val="9.0"/>
      </rPr>
      <t>2026/8/13</t>
    </r>
    <r>
      <rPr>
        <rFont val="Noto Sans CJK SC"/>
        <color rgb="FF808080"/>
        <sz val="9.0"/>
      </rPr>
      <t>確定）｜カード等は未更新（残課題）｜部門目標＝全社共通の実質予算（</t>
    </r>
    <r>
      <rPr>
        <rFont val="Meiryo UI"/>
        <color rgb="FF808080"/>
        <sz val="9.0"/>
      </rPr>
      <t>HD</t>
    </r>
    <r>
      <rPr>
        <rFont val="Noto Sans CJK SC"/>
        <color rgb="FF808080"/>
        <sz val="9.0"/>
      </rPr>
      <t>提出予算とは別）｜営業利益・販管費＝共通費配賦後</t>
    </r>
    <r>
      <rPr>
        <rFont val="Meiryo UI"/>
        <color rgb="FF808080"/>
        <sz val="9.0"/>
      </rPr>
      <t>P/L</t>
    </r>
  </si>
  <si>
    <t>売上総利益</t>
  </si>
  <si>
    <r>
      <rPr>
        <rFont val="Noto Sans CJK SC"/>
        <color theme="1"/>
        <sz val="10.0"/>
      </rPr>
      <t>・全社見込：売上</t>
    </r>
    <r>
      <rPr>
        <rFont val="Meiryo UI"/>
        <color theme="1"/>
        <sz val="10.0"/>
      </rPr>
      <t>8,246</t>
    </r>
    <r>
      <rPr>
        <rFont val="Noto Sans CJK SC"/>
        <color theme="1"/>
        <sz val="10.0"/>
      </rPr>
      <t>／粗利</t>
    </r>
    <r>
      <rPr>
        <rFont val="Meiryo UI"/>
        <color theme="1"/>
        <sz val="10.0"/>
      </rPr>
      <t>4,585</t>
    </r>
    <r>
      <rPr>
        <rFont val="Noto Sans CJK SC"/>
        <color theme="1"/>
        <sz val="10.0"/>
      </rPr>
      <t>／販管費</t>
    </r>
    <r>
      <rPr>
        <rFont val="Meiryo UI"/>
        <color theme="1"/>
        <sz val="10.0"/>
      </rPr>
      <t>2,603</t>
    </r>
    <r>
      <rPr>
        <rFont val="Noto Sans CJK SC"/>
        <color theme="1"/>
        <sz val="10.0"/>
      </rPr>
      <t>／営業利益</t>
    </r>
    <r>
      <rPr>
        <rFont val="Meiryo UI"/>
        <color theme="1"/>
        <sz val="10.0"/>
      </rPr>
      <t>1,981</t>
    </r>
    <r>
      <rPr>
        <rFont val="Noto Sans CJK SC"/>
        <color theme="1"/>
        <sz val="10.0"/>
      </rPr>
      <t>（部門目標</t>
    </r>
    <r>
      <rPr>
        <rFont val="Meiryo UI"/>
        <color theme="1"/>
        <sz val="10.0"/>
      </rPr>
      <t>2,367</t>
    </r>
    <r>
      <rPr>
        <rFont val="Noto Sans CJK SC"/>
        <color theme="1"/>
        <sz val="10.0"/>
      </rPr>
      <t>比▲</t>
    </r>
    <r>
      <rPr>
        <rFont val="Meiryo UI"/>
        <color theme="1"/>
        <sz val="10.0"/>
      </rPr>
      <t>386</t>
    </r>
    <r>
      <rPr>
        <rFont val="Noto Sans CJK SC"/>
        <color theme="1"/>
        <sz val="10.0"/>
      </rPr>
      <t>、</t>
    </r>
    <r>
      <rPr>
        <rFont val="Meiryo UI"/>
        <color theme="1"/>
        <sz val="10.0"/>
      </rPr>
      <t>HD</t>
    </r>
    <r>
      <rPr>
        <rFont val="Noto Sans CJK SC"/>
        <color theme="1"/>
        <sz val="10.0"/>
      </rPr>
      <t>提出予算</t>
    </r>
    <r>
      <rPr>
        <rFont val="Meiryo UI"/>
        <color theme="1"/>
        <sz val="10.0"/>
      </rPr>
      <t>2,200</t>
    </r>
    <r>
      <rPr>
        <rFont val="Noto Sans CJK SC"/>
        <color theme="1"/>
        <sz val="10.0"/>
      </rPr>
      <t>比▲</t>
    </r>
    <r>
      <rPr>
        <rFont val="Meiryo UI"/>
        <color theme="1"/>
        <sz val="10.0"/>
      </rPr>
      <t>219</t>
    </r>
    <r>
      <rPr>
        <rFont val="Noto Sans CJK SC"/>
        <color theme="1"/>
        <sz val="10.0"/>
      </rPr>
      <t>、前期</t>
    </r>
    <r>
      <rPr>
        <rFont val="Meiryo UI"/>
        <color theme="1"/>
        <sz val="10.0"/>
      </rPr>
      <t>565</t>
    </r>
    <r>
      <rPr>
        <rFont val="Noto Sans CJK SC"/>
        <color theme="1"/>
        <sz val="10.0"/>
      </rPr>
      <t>比</t>
    </r>
    <r>
      <rPr>
        <rFont val="Meiryo UI"/>
        <color theme="1"/>
        <sz val="10.0"/>
      </rPr>
      <t>+1,416</t>
    </r>
    <r>
      <rPr>
        <rFont val="Noto Sans CJK SC"/>
        <color theme="1"/>
        <sz val="10.0"/>
      </rPr>
      <t>）</t>
    </r>
  </si>
  <si>
    <t>販管費</t>
  </si>
  <si>
    <r>
      <rPr>
        <rFont val="Noto Sans CJK SC"/>
        <color theme="1"/>
        <sz val="10.0"/>
      </rPr>
      <t>・柳沼さん整理による</t>
    </r>
    <r>
      <rPr>
        <rFont val="Meiryo UI"/>
        <color theme="1"/>
        <sz val="10.0"/>
      </rPr>
      <t>0709</t>
    </r>
    <r>
      <rPr>
        <rFont val="Noto Sans CJK SC"/>
        <color theme="1"/>
        <sz val="10.0"/>
      </rPr>
      <t>版との粗利差▲</t>
    </r>
    <r>
      <rPr>
        <rFont val="Meiryo UI"/>
        <color theme="1"/>
        <sz val="10.0"/>
      </rPr>
      <t>230</t>
    </r>
    <r>
      <rPr>
        <rFont val="Noto Sans CJK SC"/>
        <color theme="1"/>
        <sz val="10.0"/>
      </rPr>
      <t>の内訳：ライブ▲</t>
    </r>
    <r>
      <rPr>
        <rFont val="Meiryo UI"/>
        <color theme="1"/>
        <sz val="10.0"/>
      </rPr>
      <t>137</t>
    </r>
    <r>
      <rPr>
        <rFont val="Noto Sans CJK SC"/>
        <color theme="1"/>
        <sz val="10.0"/>
      </rPr>
      <t>（</t>
    </r>
    <r>
      <rPr>
        <rFont val="Meiryo UI"/>
        <color theme="1"/>
        <sz val="10.0"/>
      </rPr>
      <t>LSS</t>
    </r>
    <r>
      <rPr>
        <rFont val="Noto Sans CJK SC"/>
        <color theme="1"/>
        <sz val="10.0"/>
      </rPr>
      <t>メンテナンスチーム人件費等のライブ原価付替。見かけ▲</t>
    </r>
    <r>
      <rPr>
        <rFont val="Meiryo UI"/>
        <color theme="1"/>
        <sz val="10.0"/>
      </rPr>
      <t>225</t>
    </r>
    <r>
      <rPr>
        <rFont val="Noto Sans CJK SC"/>
        <color theme="1"/>
        <sz val="10.0"/>
      </rPr>
      <t>と出資金償却等</t>
    </r>
    <r>
      <rPr>
        <rFont val="Meiryo UI"/>
        <color theme="1"/>
        <sz val="10.0"/>
      </rPr>
      <t>+88</t>
    </r>
    <r>
      <rPr>
        <rFont val="Noto Sans CJK SC"/>
        <color theme="1"/>
        <sz val="10.0"/>
      </rPr>
      <t>のネット）／新規開拓▲</t>
    </r>
    <r>
      <rPr>
        <rFont val="Meiryo UI"/>
        <color theme="1"/>
        <sz val="10.0"/>
      </rPr>
      <t>83</t>
    </r>
    <r>
      <rPr>
        <rFont val="Noto Sans CJK SC"/>
        <color theme="1"/>
        <sz val="10.0"/>
      </rPr>
      <t>／ライセンス▲</t>
    </r>
    <r>
      <rPr>
        <rFont val="Meiryo UI"/>
        <color theme="1"/>
        <sz val="10.0"/>
      </rPr>
      <t>31</t>
    </r>
    <r>
      <rPr>
        <rFont val="Noto Sans CJK SC"/>
        <color theme="1"/>
        <sz val="10.0"/>
      </rPr>
      <t>／流通</t>
    </r>
    <r>
      <rPr>
        <rFont val="Meiryo UI"/>
        <color theme="1"/>
        <sz val="10.0"/>
      </rPr>
      <t>+22</t>
    </r>
  </si>
  <si>
    <t>営業利益</t>
  </si>
  <si>
    <t>・残課題：カード等の見込は未更新（柳沼さん）。次回月次更新で反映</t>
  </si>
  <si>
    <r>
      <rPr>
        <rFont val="Noto Sans CJK SC"/>
        <b/>
        <color theme="1"/>
        <sz val="10.0"/>
      </rPr>
      <t>【予算体系の定義（</t>
    </r>
    <r>
      <rPr>
        <rFont val="Meiryo UI"/>
        <b/>
        <color theme="1"/>
        <sz val="10.0"/>
      </rPr>
      <t xml:space="preserve">2026/8/13 </t>
    </r>
    <r>
      <rPr>
        <rFont val="Noto Sans CJK SC"/>
        <b/>
        <color theme="1"/>
        <sz val="10.0"/>
      </rPr>
      <t>確認）】</t>
    </r>
  </si>
  <si>
    <t>・「部門目標」＝期初予算後に設定した全社共通の実質予算。差異評価は目標比を主とする</t>
  </si>
  <si>
    <r>
      <rPr>
        <rFont val="Noto Sans CJK SC"/>
        <b/>
        <color theme="1"/>
        <sz val="9.0"/>
      </rPr>
      <t xml:space="preserve">部門目標
</t>
    </r>
    <r>
      <rPr>
        <rFont val="Meiryo UI"/>
        <b/>
        <color theme="1"/>
        <sz val="9.0"/>
      </rPr>
      <t>(</t>
    </r>
    <r>
      <rPr>
        <rFont val="Noto Sans CJK SC"/>
        <b/>
        <color theme="1"/>
        <sz val="9.0"/>
      </rPr>
      <t>実質予算</t>
    </r>
    <r>
      <rPr>
        <rFont val="Meiryo UI"/>
        <b/>
        <color theme="1"/>
        <sz val="9.0"/>
      </rPr>
      <t>)</t>
    </r>
  </si>
  <si>
    <t>通期見込</t>
  </si>
  <si>
    <t>目標差</t>
  </si>
  <si>
    <r>
      <rPr>
        <rFont val="Noto Sans CJK SC"/>
        <b/>
        <color theme="1"/>
        <sz val="9.0"/>
      </rPr>
      <t xml:space="preserve">部門目標
</t>
    </r>
    <r>
      <rPr>
        <rFont val="Meiryo UI"/>
        <b/>
        <color theme="1"/>
        <sz val="9.0"/>
      </rPr>
      <t>(</t>
    </r>
    <r>
      <rPr>
        <rFont val="Noto Sans CJK SC"/>
        <b/>
        <color theme="1"/>
        <sz val="9.0"/>
      </rPr>
      <t>実質予算</t>
    </r>
    <r>
      <rPr>
        <rFont val="Meiryo UI"/>
        <b/>
        <color theme="1"/>
        <sz val="9.0"/>
      </rPr>
      <t>)</t>
    </r>
  </si>
  <si>
    <r>
      <rPr>
        <rFont val="Noto Sans CJK SC"/>
        <b/>
        <color rgb="FFFFFFFF"/>
        <sz val="11.0"/>
      </rPr>
      <t>販管費（配賦後</t>
    </r>
    <r>
      <rPr>
        <rFont val="Meiryo UI"/>
        <b/>
        <color rgb="FFFFFFFF"/>
        <sz val="11.0"/>
      </rPr>
      <t>P/L</t>
    </r>
    <r>
      <rPr>
        <rFont val="Noto Sans CJK SC"/>
        <b/>
        <color rgb="FFFFFFFF"/>
        <sz val="11.0"/>
      </rPr>
      <t>）</t>
    </r>
  </si>
  <si>
    <r>
      <rPr>
        <rFont val="Noto Sans CJK SC"/>
        <color theme="1"/>
        <sz val="10.0"/>
      </rPr>
      <t>・「</t>
    </r>
    <r>
      <rPr>
        <rFont val="Meiryo UI"/>
        <color theme="1"/>
        <sz val="10.0"/>
      </rPr>
      <t>HD</t>
    </r>
    <r>
      <rPr>
        <rFont val="Noto Sans CJK SC"/>
        <color theme="1"/>
        <sz val="10.0"/>
      </rPr>
      <t>提出予算」＝</t>
    </r>
    <r>
      <rPr>
        <rFont val="Meiryo UI"/>
        <color theme="1"/>
        <sz val="10.0"/>
      </rPr>
      <t>HD</t>
    </r>
    <r>
      <rPr>
        <rFont val="Noto Sans CJK SC"/>
        <color theme="1"/>
        <sz val="10.0"/>
      </rPr>
      <t>に提出している予算（各シートの「予算」列）。全社営利：</t>
    </r>
    <r>
      <rPr>
        <rFont val="Meiryo UI"/>
        <color theme="1"/>
        <sz val="10.0"/>
      </rPr>
      <t>HD</t>
    </r>
    <r>
      <rPr>
        <rFont val="Noto Sans CJK SC"/>
        <color theme="1"/>
        <sz val="10.0"/>
      </rPr>
      <t>予算</t>
    </r>
    <r>
      <rPr>
        <rFont val="Meiryo UI"/>
        <color theme="1"/>
        <sz val="10.0"/>
      </rPr>
      <t>2,200</t>
    </r>
    <r>
      <rPr>
        <rFont val="Noto Sans CJK SC"/>
        <color theme="1"/>
        <sz val="10.0"/>
      </rPr>
      <t>／部門目標</t>
    </r>
    <r>
      <rPr>
        <rFont val="Meiryo UI"/>
        <color theme="1"/>
        <sz val="10.0"/>
      </rPr>
      <t>2,367</t>
    </r>
  </si>
  <si>
    <r>
      <rPr>
        <rFont val="Noto Sans CJK SC"/>
        <b/>
        <color theme="1"/>
        <sz val="9.0"/>
      </rPr>
      <t xml:space="preserve">部門目標
</t>
    </r>
    <r>
      <rPr>
        <rFont val="Meiryo UI"/>
        <b/>
        <color theme="1"/>
        <sz val="9.0"/>
      </rPr>
      <t>(</t>
    </r>
    <r>
      <rPr>
        <rFont val="Noto Sans CJK SC"/>
        <b/>
        <color theme="1"/>
        <sz val="9.0"/>
      </rPr>
      <t>実質予算</t>
    </r>
    <r>
      <rPr>
        <rFont val="Meiryo UI"/>
        <b/>
        <color theme="1"/>
        <sz val="9.0"/>
      </rPr>
      <t>)</t>
    </r>
  </si>
  <si>
    <t>営業利益（配賦後）</t>
  </si>
  <si>
    <r>
      <rPr>
        <rFont val="Noto Sans CJK SC"/>
        <b/>
        <color theme="1"/>
        <sz val="10.0"/>
      </rPr>
      <t>【前期（</t>
    </r>
    <r>
      <rPr>
        <rFont val="Meiryo UI"/>
        <b/>
        <color theme="1"/>
        <sz val="10.0"/>
      </rPr>
      <t>65</t>
    </r>
    <r>
      <rPr>
        <rFont val="Noto Sans CJK SC"/>
        <b/>
        <color theme="1"/>
        <sz val="10.0"/>
      </rPr>
      <t>期）マッピング（</t>
    </r>
    <r>
      <rPr>
        <rFont val="Meiryo UI"/>
        <b/>
        <color theme="1"/>
        <sz val="10.0"/>
      </rPr>
      <t xml:space="preserve">2026/8/13 </t>
    </r>
    <r>
      <rPr>
        <rFont val="Noto Sans CJK SC"/>
        <b/>
        <color theme="1"/>
        <sz val="10.0"/>
      </rPr>
      <t>確認済み）】</t>
    </r>
  </si>
  <si>
    <t>備考</t>
  </si>
  <si>
    <r>
      <rPr>
        <rFont val="Noto Sans CJK SC"/>
        <b/>
        <color theme="1"/>
        <sz val="9.0"/>
      </rPr>
      <t xml:space="preserve">部門目標
</t>
    </r>
    <r>
      <rPr>
        <rFont val="Meiryo UI"/>
        <b/>
        <color theme="1"/>
        <sz val="9.0"/>
      </rPr>
      <t>(</t>
    </r>
    <r>
      <rPr>
        <rFont val="Noto Sans CJK SC"/>
        <b/>
        <color theme="1"/>
        <sz val="9.0"/>
      </rPr>
      <t>実質予算</t>
    </r>
    <r>
      <rPr>
        <rFont val="Meiryo UI"/>
        <b/>
        <color theme="1"/>
        <sz val="9.0"/>
      </rPr>
      <t>)</t>
    </r>
  </si>
  <si>
    <r>
      <rPr>
        <rFont val="Noto Sans CJK SC"/>
        <color theme="1"/>
        <sz val="10.0"/>
      </rPr>
      <t>・国内</t>
    </r>
    <r>
      <rPr>
        <rFont val="Meiryo UI"/>
        <color theme="1"/>
        <sz val="10.0"/>
      </rPr>
      <t>MD</t>
    </r>
    <r>
      <rPr>
        <rFont val="Noto Sans CJK SC"/>
        <color theme="1"/>
        <sz val="10.0"/>
      </rPr>
      <t>＝マーチャンダイジング</t>
    </r>
    <r>
      <rPr>
        <rFont val="Meiryo UI"/>
        <color theme="1"/>
        <sz val="10.0"/>
      </rPr>
      <t>G</t>
    </r>
    <r>
      <rPr>
        <rFont val="Noto Sans CJK SC"/>
        <color theme="1"/>
        <sz val="10.0"/>
      </rPr>
      <t>／新規開拓＝セールス</t>
    </r>
    <r>
      <rPr>
        <rFont val="Meiryo UI"/>
        <color theme="1"/>
        <sz val="10.0"/>
      </rPr>
      <t>G</t>
    </r>
    <r>
      <rPr>
        <rFont val="Noto Sans CJK SC"/>
        <color theme="1"/>
        <sz val="10.0"/>
      </rPr>
      <t>＋コーポレートセールス室（全額国内）／流通合計＝リテールビジネス＋越境</t>
    </r>
    <r>
      <rPr>
        <rFont val="Meiryo UI"/>
        <color theme="1"/>
        <sz val="10.0"/>
      </rPr>
      <t>EC</t>
    </r>
  </si>
  <si>
    <t>円谷プロ合計</t>
  </si>
  <si>
    <r>
      <rPr>
        <rFont val="Noto Sans CJK SC"/>
        <b/>
        <color theme="1"/>
        <sz val="9.0"/>
      </rPr>
      <t xml:space="preserve">部門目標
</t>
    </r>
    <r>
      <rPr>
        <rFont val="Meiryo UI"/>
        <b/>
        <color theme="1"/>
        <sz val="9.0"/>
      </rPr>
      <t>(</t>
    </r>
    <r>
      <rPr>
        <rFont val="Noto Sans CJK SC"/>
        <b/>
        <color theme="1"/>
        <sz val="9.0"/>
      </rPr>
      <t>実質予算</t>
    </r>
    <r>
      <rPr>
        <rFont val="Meiryo UI"/>
        <b/>
        <color theme="1"/>
        <sz val="9.0"/>
      </rPr>
      <t>)</t>
    </r>
  </si>
  <si>
    <r>
      <rPr>
        <rFont val="Noto Sans CJK SC"/>
        <color theme="1"/>
        <sz val="10.0"/>
      </rPr>
      <t>・ライブ＝ライブ＋グローバルライブ／カード合計＝</t>
    </r>
    <r>
      <rPr>
        <rFont val="Meiryo UI"/>
        <color theme="1"/>
        <sz val="10.0"/>
      </rPr>
      <t>TPC</t>
    </r>
    <r>
      <rPr>
        <rFont val="Noto Sans CJK SC"/>
        <color theme="1"/>
        <sz val="10.0"/>
      </rPr>
      <t>カード事業合計／総務部＝総務</t>
    </r>
    <r>
      <rPr>
        <rFont val="Meiryo UI"/>
        <color theme="1"/>
        <sz val="10.0"/>
      </rPr>
      <t>G</t>
    </r>
    <r>
      <rPr>
        <rFont val="Noto Sans CJK SC"/>
        <color theme="1"/>
        <sz val="10.0"/>
      </rPr>
      <t>＋業務システム／販売促進部＝マーケティング本部合計</t>
    </r>
  </si>
  <si>
    <r>
      <rPr>
        <rFont val="Noto Sans CJK SC"/>
        <color theme="1"/>
        <sz val="10.0"/>
      </rPr>
      <t>・ライセンス営業部＝国内</t>
    </r>
    <r>
      <rPr>
        <rFont val="Meiryo UI"/>
        <color theme="1"/>
        <sz val="10.0"/>
      </rPr>
      <t>MD</t>
    </r>
    <r>
      <rPr>
        <rFont val="Noto Sans CJK SC"/>
        <color theme="1"/>
        <sz val="10.0"/>
      </rPr>
      <t>＋イマジ含むディス＋中国の積上げ（海外ディス除く）</t>
    </r>
  </si>
  <si>
    <r>
      <rPr>
        <rFont val="Meiryo UI"/>
        <b/>
        <color theme="1"/>
        <sz val="9.0"/>
      </rPr>
      <t>HD</t>
    </r>
    <r>
      <rPr>
        <rFont val="Noto Sans CJK SC"/>
        <b/>
        <color theme="1"/>
        <sz val="9.0"/>
      </rPr>
      <t>提出予算</t>
    </r>
  </si>
  <si>
    <r>
      <rPr>
        <rFont val="Noto Sans CJK SC"/>
        <color theme="1"/>
        <sz val="10.0"/>
      </rPr>
      <t>・前期対応なし：海外ディス（</t>
    </r>
    <r>
      <rPr>
        <rFont val="Meiryo UI"/>
        <color theme="1"/>
        <sz val="10.0"/>
      </rPr>
      <t>65</t>
    </r>
    <r>
      <rPr>
        <rFont val="Noto Sans CJK SC"/>
        <color theme="1"/>
        <sz val="10.0"/>
      </rPr>
      <t>期は海外事業本部に混在）／新規開拓（海外）／商品開発部／事業統括本部／営業事業本部販管／映像本部付け</t>
    </r>
  </si>
  <si>
    <r>
      <rPr>
        <rFont val="Noto Sans CJK SC"/>
        <color theme="1"/>
        <sz val="10.0"/>
      </rPr>
      <t>・部・課レベルの前期と本部合計レベルの前期（財務組替）は基準が異なり加算整合しない（財務組替＝旧海外事業本部を丸ごと営業に含みセールス</t>
    </r>
    <r>
      <rPr>
        <rFont val="Meiryo UI"/>
        <color theme="1"/>
        <sz val="10.0"/>
      </rPr>
      <t>G</t>
    </r>
    <r>
      <rPr>
        <rFont val="Noto Sans CJK SC"/>
        <color theme="1"/>
        <sz val="10.0"/>
      </rPr>
      <t>を含まない）</t>
    </r>
  </si>
  <si>
    <t>【その他の注意】</t>
  </si>
  <si>
    <r>
      <rPr>
        <rFont val="Meiryo UI"/>
        <b/>
        <color theme="1"/>
        <sz val="9.0"/>
      </rPr>
      <t>HD</t>
    </r>
    <r>
      <rPr>
        <rFont val="Noto Sans CJK SC"/>
        <b/>
        <color theme="1"/>
        <sz val="9.0"/>
      </rPr>
      <t>予算差</t>
    </r>
  </si>
  <si>
    <r>
      <rPr>
        <rFont val="Noto Sans CJK SC"/>
        <color theme="1"/>
        <sz val="10.0"/>
      </rPr>
      <t>・</t>
    </r>
    <r>
      <rPr>
        <rFont val="Meiryo UI"/>
        <color theme="1"/>
        <sz val="10.0"/>
      </rPr>
      <t>(</t>
    </r>
    <r>
      <rPr>
        <rFont val="Noto Sans CJK SC"/>
        <color theme="1"/>
        <sz val="10.0"/>
      </rPr>
      <t>参考</t>
    </r>
    <r>
      <rPr>
        <rFont val="Meiryo UI"/>
        <color theme="1"/>
        <sz val="10.0"/>
      </rPr>
      <t>)0709</t>
    </r>
    <r>
      <rPr>
        <rFont val="Noto Sans CJK SC"/>
        <color theme="1"/>
        <sz val="10.0"/>
      </rPr>
      <t>版列（粗利）は差異トレース用。営業利益の</t>
    </r>
    <r>
      <rPr>
        <rFont val="Meiryo UI"/>
        <color theme="1"/>
        <sz val="10.0"/>
      </rPr>
      <t>0709</t>
    </r>
    <r>
      <rPr>
        <rFont val="Noto Sans CJK SC"/>
        <color theme="1"/>
        <sz val="10.0"/>
      </rPr>
      <t>版比較は配賦基準差（本部共通費配賦の再設計）を含むため列化していない</t>
    </r>
  </si>
  <si>
    <t>前期</t>
  </si>
  <si>
    <t>前期差</t>
  </si>
  <si>
    <r>
      <rPr>
        <rFont val="Noto Sans CJK SC"/>
        <color theme="1"/>
        <sz val="10.0"/>
      </rPr>
      <t>・映像本部付け・製作管理部の目標</t>
    </r>
    <r>
      <rPr>
        <rFont val="Meiryo UI"/>
        <color theme="1"/>
        <sz val="10.0"/>
      </rPr>
      <t>/HD</t>
    </r>
    <r>
      <rPr>
        <rFont val="Noto Sans CJK SC"/>
        <color theme="1"/>
        <sz val="10.0"/>
      </rPr>
      <t>予算は製造原価振替</t>
    </r>
    <r>
      <rPr>
        <rFont val="Meiryo UI"/>
        <color theme="1"/>
        <sz val="10.0"/>
      </rPr>
      <t>312</t>
    </r>
    <r>
      <rPr>
        <rFont val="Noto Sans CJK SC"/>
        <color theme="1"/>
        <sz val="10.0"/>
      </rPr>
      <t>の予算組み位置の歪みを含む（見込が実勢）</t>
    </r>
  </si>
  <si>
    <r>
      <rPr>
        <rFont val="Noto Sans CJK SC"/>
        <b/>
        <color theme="1"/>
        <sz val="9.0"/>
      </rPr>
      <t xml:space="preserve">部門目標
</t>
    </r>
    <r>
      <rPr>
        <rFont val="Meiryo UI"/>
        <b/>
        <color theme="1"/>
        <sz val="9.0"/>
      </rPr>
      <t>(</t>
    </r>
    <r>
      <rPr>
        <rFont val="Noto Sans CJK SC"/>
        <b/>
        <color theme="1"/>
        <sz val="9.0"/>
      </rPr>
      <t>実質予算</t>
    </r>
    <r>
      <rPr>
        <rFont val="Meiryo UI"/>
        <b/>
        <color theme="1"/>
        <sz val="9.0"/>
      </rPr>
      <t>)</t>
    </r>
  </si>
  <si>
    <r>
      <rPr>
        <rFont val="Noto Sans CJK SC"/>
        <color theme="1"/>
        <sz val="10.0"/>
      </rPr>
      <t>・海外ディスの売上見込▲</t>
    </r>
    <r>
      <rPr>
        <rFont val="Meiryo UI"/>
        <color theme="1"/>
        <sz val="10.0"/>
      </rPr>
      <t>58</t>
    </r>
    <r>
      <rPr>
        <rFont val="Noto Sans CJK SC"/>
        <color theme="1"/>
        <sz val="10.0"/>
      </rPr>
      <t>のマイナス値は引き続き要確認</t>
    </r>
  </si>
  <si>
    <r>
      <rPr>
        <rFont val="Meiryo UI"/>
        <b/>
        <color theme="1"/>
        <sz val="9.0"/>
      </rPr>
      <t>HD</t>
    </r>
    <r>
      <rPr>
        <rFont val="Noto Sans CJK SC"/>
        <b/>
        <color theme="1"/>
        <sz val="9.0"/>
      </rPr>
      <t>提出予算</t>
    </r>
  </si>
  <si>
    <r>
      <rPr>
        <rFont val="Noto Sans CJK SC"/>
        <color theme="1"/>
        <sz val="10.0"/>
      </rPr>
      <t>・高橋さん暫定サマリの確定削減（家賃▲</t>
    </r>
    <r>
      <rPr>
        <rFont val="Meiryo UI"/>
        <color theme="1"/>
        <sz val="10.0"/>
      </rPr>
      <t>26.4</t>
    </r>
    <r>
      <rPr>
        <rFont val="Noto Sans CJK SC"/>
        <color theme="1"/>
        <sz val="10.0"/>
      </rPr>
      <t>・退職▲</t>
    </r>
    <r>
      <rPr>
        <rFont val="Meiryo UI"/>
        <color theme="1"/>
        <sz val="10.0"/>
      </rPr>
      <t>18.4</t>
    </r>
    <r>
      <rPr>
        <rFont val="Noto Sans CJK SC"/>
        <color theme="1"/>
        <sz val="10.0"/>
      </rPr>
      <t>）・増加（商品開発部出向 約</t>
    </r>
    <r>
      <rPr>
        <rFont val="Meiryo UI"/>
        <color theme="1"/>
        <sz val="10.0"/>
      </rPr>
      <t>+40</t>
    </r>
    <r>
      <rPr>
        <rFont val="Noto Sans CJK SC"/>
        <color theme="1"/>
        <sz val="10.0"/>
      </rPr>
      <t>）は未反映</t>
    </r>
  </si>
  <si>
    <r>
      <rPr>
        <rFont val="Meiryo UI"/>
        <b/>
        <color theme="1"/>
        <sz val="9.0"/>
      </rPr>
      <t>HD</t>
    </r>
    <r>
      <rPr>
        <rFont val="Noto Sans CJK SC"/>
        <b/>
        <color theme="1"/>
        <sz val="9.0"/>
      </rPr>
      <t>予算差</t>
    </r>
  </si>
  <si>
    <r>
      <rPr>
        <rFont val="Meiryo UI"/>
        <b/>
        <color theme="1"/>
        <sz val="9.0"/>
      </rPr>
      <t>(</t>
    </r>
    <r>
      <rPr>
        <rFont val="Noto Sans CJK SC"/>
        <b/>
        <color theme="1"/>
        <sz val="9.0"/>
      </rPr>
      <t>参考</t>
    </r>
    <r>
      <rPr>
        <rFont val="Meiryo UI"/>
        <b/>
        <color theme="1"/>
        <sz val="9.0"/>
      </rPr>
      <t>)0709</t>
    </r>
    <r>
      <rPr>
        <rFont val="Noto Sans CJK SC"/>
        <b/>
        <color theme="1"/>
        <sz val="9.0"/>
      </rPr>
      <t>版</t>
    </r>
  </si>
  <si>
    <r>
      <rPr>
        <rFont val="Meiryo UI"/>
        <b/>
        <color theme="1"/>
        <sz val="9.0"/>
      </rPr>
      <t>0709</t>
    </r>
    <r>
      <rPr>
        <rFont val="Noto Sans CJK SC"/>
        <b/>
        <color theme="1"/>
        <sz val="9.0"/>
      </rPr>
      <t>版差</t>
    </r>
  </si>
  <si>
    <r>
      <rPr>
        <rFont val="Noto Sans CJK SC"/>
        <b/>
        <color theme="1"/>
        <sz val="9.0"/>
      </rPr>
      <t xml:space="preserve">部門目標
</t>
    </r>
    <r>
      <rPr>
        <rFont val="Meiryo UI"/>
        <b/>
        <color theme="1"/>
        <sz val="9.0"/>
      </rPr>
      <t>(</t>
    </r>
    <r>
      <rPr>
        <rFont val="Noto Sans CJK SC"/>
        <b/>
        <color theme="1"/>
        <sz val="9.0"/>
      </rPr>
      <t>実質予算</t>
    </r>
    <r>
      <rPr>
        <rFont val="Meiryo UI"/>
        <b/>
        <color theme="1"/>
        <sz val="9.0"/>
      </rPr>
      <t>)</t>
    </r>
  </si>
  <si>
    <r>
      <rPr>
        <rFont val="Meiryo UI"/>
        <b/>
        <color theme="1"/>
        <sz val="9.0"/>
      </rPr>
      <t>HD</t>
    </r>
    <r>
      <rPr>
        <rFont val="Noto Sans CJK SC"/>
        <b/>
        <color theme="1"/>
        <sz val="9.0"/>
      </rPr>
      <t>提出予算</t>
    </r>
  </si>
  <si>
    <t>営業事業本部合計</t>
  </si>
  <si>
    <r>
      <rPr>
        <rFont val="Noto Sans CJK SC"/>
        <b/>
        <color theme="1"/>
        <sz val="9.0"/>
      </rPr>
      <t xml:space="preserve">部門目標
</t>
    </r>
    <r>
      <rPr>
        <rFont val="Meiryo UI"/>
        <b/>
        <color theme="1"/>
        <sz val="9.0"/>
      </rPr>
      <t>(</t>
    </r>
    <r>
      <rPr>
        <rFont val="Noto Sans CJK SC"/>
        <b/>
        <color theme="1"/>
        <sz val="9.0"/>
      </rPr>
      <t>実質予算</t>
    </r>
    <r>
      <rPr>
        <rFont val="Meiryo UI"/>
        <b/>
        <color theme="1"/>
        <sz val="9.0"/>
      </rPr>
      <t>)</t>
    </r>
  </si>
  <si>
    <r>
      <rPr>
        <rFont val="Meiryo UI"/>
        <b/>
        <color theme="1"/>
        <sz val="9.0"/>
      </rPr>
      <t>HD</t>
    </r>
    <r>
      <rPr>
        <rFont val="Noto Sans CJK SC"/>
        <b/>
        <color theme="1"/>
        <sz val="9.0"/>
      </rPr>
      <t>提出予算</t>
    </r>
  </si>
  <si>
    <r>
      <rPr>
        <rFont val="Meiryo UI"/>
        <b/>
        <color theme="1"/>
        <sz val="9.0"/>
      </rPr>
      <t>HD</t>
    </r>
    <r>
      <rPr>
        <rFont val="Noto Sans CJK SC"/>
        <b/>
        <color theme="1"/>
        <sz val="9.0"/>
      </rPr>
      <t>予算差</t>
    </r>
  </si>
  <si>
    <t xml:space="preserve">　ライセンス営業部</t>
  </si>
  <si>
    <r>
      <rPr>
        <rFont val="Noto Sans CJK SC"/>
        <color rgb="FF000000"/>
        <sz val="10.0"/>
      </rPr>
      <t xml:space="preserve">　　国内</t>
    </r>
    <r>
      <rPr>
        <rFont val="Meiryo UI"/>
        <color rgb="FF000000"/>
        <sz val="10.0"/>
      </rPr>
      <t>MD</t>
    </r>
  </si>
  <si>
    <t xml:space="preserve">　　イマジ含む国内ディス</t>
  </si>
  <si>
    <t xml:space="preserve">　　海外ディス</t>
  </si>
  <si>
    <t xml:space="preserve">　　中国</t>
  </si>
  <si>
    <t xml:space="preserve">　新規開拓営業部</t>
  </si>
  <si>
    <t xml:space="preserve">　　新規開拓（国内）</t>
  </si>
  <si>
    <t xml:space="preserve">　　新規開拓（海外）</t>
  </si>
  <si>
    <r>
      <rPr>
        <rFont val="Noto Sans CJK SC"/>
        <color rgb="FF000000"/>
        <sz val="9.0"/>
      </rPr>
      <t>正本確定（</t>
    </r>
    <r>
      <rPr>
        <rFont val="Meiryo UI"/>
        <color rgb="FF000000"/>
        <sz val="9.0"/>
      </rPr>
      <t>2026/8/13</t>
    </r>
    <r>
      <rPr>
        <rFont val="Noto Sans CJK SC"/>
        <color rgb="FF000000"/>
        <sz val="9.0"/>
      </rPr>
      <t>柳沼さんメール）。営利見込</t>
    </r>
    <r>
      <rPr>
        <rFont val="Meiryo UI"/>
        <color rgb="FF000000"/>
        <sz val="9.0"/>
      </rPr>
      <t>1,981</t>
    </r>
    <r>
      <rPr>
        <rFont val="Noto Sans CJK SC"/>
        <color rgb="FF000000"/>
        <sz val="9.0"/>
      </rPr>
      <t>＝目標比▲</t>
    </r>
    <r>
      <rPr>
        <rFont val="Meiryo UI"/>
        <color rgb="FF000000"/>
        <sz val="9.0"/>
      </rPr>
      <t>386</t>
    </r>
    <r>
      <rPr>
        <rFont val="Noto Sans CJK SC"/>
        <color rgb="FF000000"/>
        <sz val="9.0"/>
      </rPr>
      <t>／</t>
    </r>
    <r>
      <rPr>
        <rFont val="Meiryo UI"/>
        <color rgb="FF000000"/>
        <sz val="9.0"/>
      </rPr>
      <t>HD</t>
    </r>
    <r>
      <rPr>
        <rFont val="Noto Sans CJK SC"/>
        <color rgb="FF000000"/>
        <sz val="9.0"/>
      </rPr>
      <t>予算比▲</t>
    </r>
    <r>
      <rPr>
        <rFont val="Meiryo UI"/>
        <color rgb="FF000000"/>
        <sz val="9.0"/>
      </rPr>
      <t>219</t>
    </r>
    <r>
      <rPr>
        <rFont val="Noto Sans CJK SC"/>
        <color rgb="FF000000"/>
        <sz val="9.0"/>
      </rPr>
      <t>。</t>
    </r>
    <r>
      <rPr>
        <rFont val="Meiryo UI"/>
        <color rgb="FF000000"/>
        <sz val="9.0"/>
      </rPr>
      <t>0709</t>
    </r>
    <r>
      <rPr>
        <rFont val="Noto Sans CJK SC"/>
        <color rgb="FF000000"/>
        <sz val="9.0"/>
      </rPr>
      <t>版比 粗利▲</t>
    </r>
    <r>
      <rPr>
        <rFont val="Meiryo UI"/>
        <color rgb="FF000000"/>
        <sz val="9.0"/>
      </rPr>
      <t>234</t>
    </r>
    <r>
      <rPr>
        <rFont val="Noto Sans CJK SC"/>
        <color rgb="FF000000"/>
        <sz val="9.0"/>
      </rPr>
      <t>＝ライブ▲</t>
    </r>
    <r>
      <rPr>
        <rFont val="Meiryo UI"/>
        <color rgb="FF000000"/>
        <sz val="9.0"/>
      </rPr>
      <t>137(</t>
    </r>
    <r>
      <rPr>
        <rFont val="Noto Sans CJK SC"/>
        <color rgb="FF000000"/>
        <sz val="9.0"/>
      </rPr>
      <t>メンテ費付替</t>
    </r>
    <r>
      <rPr>
        <rFont val="Meiryo UI"/>
        <color rgb="FF000000"/>
        <sz val="9.0"/>
      </rPr>
      <t>)</t>
    </r>
    <r>
      <rPr>
        <rFont val="Noto Sans CJK SC"/>
        <color rgb="FF000000"/>
        <sz val="9.0"/>
      </rPr>
      <t>／新規開拓▲</t>
    </r>
    <r>
      <rPr>
        <rFont val="Meiryo UI"/>
        <color rgb="FF000000"/>
        <sz val="9.0"/>
      </rPr>
      <t>83</t>
    </r>
    <r>
      <rPr>
        <rFont val="Noto Sans CJK SC"/>
        <color rgb="FF000000"/>
        <sz val="9.0"/>
      </rPr>
      <t>／ライセンス▲</t>
    </r>
    <r>
      <rPr>
        <rFont val="Meiryo UI"/>
        <color rgb="FF000000"/>
        <sz val="9.0"/>
      </rPr>
      <t>31</t>
    </r>
    <r>
      <rPr>
        <rFont val="Noto Sans CJK SC"/>
        <color rgb="FF000000"/>
        <sz val="9.0"/>
      </rPr>
      <t>／流通</t>
    </r>
    <r>
      <rPr>
        <rFont val="Meiryo UI"/>
        <color rgb="FF000000"/>
        <sz val="9.0"/>
      </rPr>
      <t>+22</t>
    </r>
    <r>
      <rPr>
        <rFont val="Noto Sans CJK SC"/>
        <color rgb="FF000000"/>
        <sz val="9.0"/>
      </rPr>
      <t>ほか</t>
    </r>
  </si>
  <si>
    <t xml:space="preserve">　流通営業部合計（リテール）</t>
  </si>
  <si>
    <t xml:space="preserve">　ライブイベント部</t>
  </si>
  <si>
    <t xml:space="preserve">　営業事業本部販管</t>
  </si>
  <si>
    <t>商品開発事業本部合計</t>
  </si>
  <si>
    <t xml:space="preserve">　商品開発部</t>
  </si>
  <si>
    <r>
      <rPr>
        <rFont val="Noto Sans CJK SC"/>
        <color rgb="FF808080"/>
        <sz val="9.0"/>
      </rPr>
      <t>前期＝国内</t>
    </r>
    <r>
      <rPr>
        <rFont val="Meiryo UI"/>
        <color rgb="FF808080"/>
        <sz val="9.0"/>
      </rPr>
      <t>MD</t>
    </r>
    <r>
      <rPr>
        <rFont val="Noto Sans CJK SC"/>
        <color rgb="FF808080"/>
        <sz val="9.0"/>
      </rPr>
      <t>＋イマジ含むディス＋中国の積上げ（海外ディス除く・組替基準差あり）</t>
    </r>
  </si>
  <si>
    <t xml:space="preserve">　カード開発部合計</t>
  </si>
  <si>
    <r>
      <rPr>
        <rFont val="Noto Sans CJK SC"/>
        <color rgb="FF000000"/>
        <sz val="10.0"/>
      </rPr>
      <t xml:space="preserve">　　国内</t>
    </r>
    <r>
      <rPr>
        <rFont val="Meiryo UI"/>
        <color rgb="FF000000"/>
        <sz val="10.0"/>
      </rPr>
      <t>MD</t>
    </r>
  </si>
  <si>
    <t>映像事業本部合計</t>
  </si>
  <si>
    <t xml:space="preserve">　製作企画部</t>
  </si>
  <si>
    <t xml:space="preserve">　製作管理部</t>
  </si>
  <si>
    <r>
      <rPr>
        <rFont val="Noto Sans CJK SC"/>
        <color rgb="FF000000"/>
        <sz val="9.0"/>
      </rPr>
      <t>前期＝</t>
    </r>
    <r>
      <rPr>
        <rFont val="Meiryo UI"/>
        <color rgb="FF000000"/>
        <sz val="9.0"/>
      </rPr>
      <t>65</t>
    </r>
    <r>
      <rPr>
        <rFont val="Noto Sans CJK SC"/>
        <color rgb="FF000000"/>
        <sz val="9.0"/>
      </rPr>
      <t>期マーチャンダイジング</t>
    </r>
    <r>
      <rPr>
        <rFont val="Meiryo UI"/>
        <color rgb="FF000000"/>
        <sz val="9.0"/>
      </rPr>
      <t>G</t>
    </r>
    <r>
      <rPr>
        <rFont val="Noto Sans CJK SC"/>
        <color rgb="FF000000"/>
        <sz val="9.0"/>
      </rPr>
      <t>。売上目標</t>
    </r>
    <r>
      <rPr>
        <rFont val="Meiryo UI"/>
        <color rgb="FF000000"/>
        <sz val="9.0"/>
      </rPr>
      <t>342</t>
    </r>
    <r>
      <rPr>
        <rFont val="Noto Sans CJK SC"/>
        <color rgb="FF000000"/>
        <sz val="9.0"/>
      </rPr>
      <t>に対し</t>
    </r>
    <r>
      <rPr>
        <rFont val="Meiryo UI"/>
        <color rgb="FF000000"/>
        <sz val="9.0"/>
      </rPr>
      <t>302</t>
    </r>
    <r>
      <rPr>
        <rFont val="Noto Sans CJK SC"/>
        <color rgb="FF000000"/>
        <sz val="9.0"/>
      </rPr>
      <t>（▲</t>
    </r>
    <r>
      <rPr>
        <rFont val="Meiryo UI"/>
        <color rgb="FF000000"/>
        <sz val="9.0"/>
      </rPr>
      <t>40</t>
    </r>
    <r>
      <rPr>
        <rFont val="Noto Sans CJK SC"/>
        <color rgb="FF000000"/>
        <sz val="9.0"/>
      </rPr>
      <t>：他社分消去増）</t>
    </r>
  </si>
  <si>
    <t xml:space="preserve">　映像事業本部（本部付け）</t>
  </si>
  <si>
    <t>その他合計</t>
  </si>
  <si>
    <t xml:space="preserve">　管理本部合計</t>
  </si>
  <si>
    <t xml:space="preserve">　　総務部</t>
  </si>
  <si>
    <t xml:space="preserve">　　管理本部</t>
  </si>
  <si>
    <t xml:space="preserve">　　（参考）法務・人事・財務経理</t>
  </si>
  <si>
    <r>
      <rPr>
        <rFont val="Noto Sans CJK SC"/>
        <color rgb="FF000000"/>
        <sz val="9.0"/>
      </rPr>
      <t>売上見込▲</t>
    </r>
    <r>
      <rPr>
        <rFont val="Meiryo UI"/>
        <color rgb="FF000000"/>
        <sz val="9.0"/>
      </rPr>
      <t>58</t>
    </r>
    <r>
      <rPr>
        <rFont val="Noto Sans CJK SC"/>
        <color rgb="FF000000"/>
        <sz val="9.0"/>
      </rPr>
      <t>のマイナス値は要確認。販管費</t>
    </r>
    <r>
      <rPr>
        <rFont val="Meiryo UI"/>
        <color rgb="FF000000"/>
        <sz val="9.0"/>
      </rPr>
      <t>68</t>
    </r>
    <r>
      <rPr>
        <rFont val="Noto Sans CJK SC"/>
        <color rgb="FF000000"/>
        <sz val="9.0"/>
      </rPr>
      <t>計上で営利赤字。前期対応なし</t>
    </r>
  </si>
  <si>
    <t xml:space="preserve">　プロジェクト共通費</t>
  </si>
  <si>
    <t xml:space="preserve">　販売促進部</t>
  </si>
  <si>
    <t xml:space="preserve">　事業統括本部</t>
  </si>
  <si>
    <t xml:space="preserve">　（参考）本社共通</t>
  </si>
  <si>
    <r>
      <rPr>
        <rFont val="Noto Sans CJK SC"/>
        <color rgb="FF000000"/>
        <sz val="9.0"/>
      </rPr>
      <t>前期＝</t>
    </r>
    <r>
      <rPr>
        <rFont val="Meiryo UI"/>
        <color rgb="FF000000"/>
        <sz val="9.0"/>
      </rPr>
      <t>65</t>
    </r>
    <r>
      <rPr>
        <rFont val="Noto Sans CJK SC"/>
        <color rgb="FF000000"/>
        <sz val="9.0"/>
      </rPr>
      <t>期中国事業管理部。</t>
    </r>
    <r>
      <rPr>
        <rFont val="Meiryo UI"/>
        <color rgb="FF000000"/>
        <sz val="9.0"/>
      </rPr>
      <t>SCLA</t>
    </r>
    <r>
      <rPr>
        <rFont val="Noto Sans CJK SC"/>
        <color rgb="FF000000"/>
        <sz val="9.0"/>
      </rPr>
      <t>配分金増で粗利減。販管費精査</t>
    </r>
    <r>
      <rPr>
        <rFont val="Meiryo UI"/>
        <color rgb="FF000000"/>
        <sz val="9.0"/>
      </rPr>
      <t>196</t>
    </r>
  </si>
  <si>
    <t xml:space="preserve">　（参考）南多摩共通</t>
  </si>
  <si>
    <t xml:space="preserve">　（参考）取締役</t>
  </si>
  <si>
    <r>
      <rPr>
        <rFont val="Noto Sans CJK SC"/>
        <color rgb="FF000000"/>
        <sz val="9.0"/>
      </rPr>
      <t>前期＝</t>
    </r>
    <r>
      <rPr>
        <rFont val="Meiryo UI"/>
        <color rgb="FF000000"/>
        <sz val="9.0"/>
      </rPr>
      <t>65</t>
    </r>
    <r>
      <rPr>
        <rFont val="Noto Sans CJK SC"/>
        <color rgb="FF000000"/>
        <sz val="9.0"/>
      </rPr>
      <t>期セールス</t>
    </r>
    <r>
      <rPr>
        <rFont val="Meiryo UI"/>
        <color rgb="FF000000"/>
        <sz val="9.0"/>
      </rPr>
      <t>G</t>
    </r>
    <r>
      <rPr>
        <rFont val="Noto Sans CJK SC"/>
        <color rgb="FF000000"/>
        <sz val="9.0"/>
      </rPr>
      <t>＋コーポレートセールス室（全額国内・財務組替と基準差）。</t>
    </r>
    <r>
      <rPr>
        <rFont val="Meiryo UI"/>
        <color rgb="FF000000"/>
        <sz val="9.0"/>
      </rPr>
      <t>0709</t>
    </r>
    <r>
      <rPr>
        <rFont val="Noto Sans CJK SC"/>
        <color rgb="FF000000"/>
        <sz val="9.0"/>
      </rPr>
      <t>版比 粗利▲</t>
    </r>
    <r>
      <rPr>
        <rFont val="Meiryo UI"/>
        <color rgb="FF000000"/>
        <sz val="9.0"/>
      </rPr>
      <t>83</t>
    </r>
  </si>
  <si>
    <t xml:space="preserve">　（参考）その他</t>
  </si>
  <si>
    <r>
      <rPr>
        <rFont val="Meiryo UI"/>
        <color rgb="FF000000"/>
        <sz val="9.0"/>
      </rPr>
      <t>HD</t>
    </r>
    <r>
      <rPr>
        <rFont val="Noto Sans CJK SC"/>
        <color rgb="FF000000"/>
        <sz val="9.0"/>
      </rPr>
      <t>予算が</t>
    </r>
    <r>
      <rPr>
        <rFont val="Meiryo UI"/>
        <color rgb="FF000000"/>
        <sz val="9.0"/>
      </rPr>
      <t>TFEI</t>
    </r>
    <r>
      <rPr>
        <rFont val="Noto Sans CJK SC"/>
        <color rgb="FF000000"/>
        <sz val="9.0"/>
      </rPr>
      <t>取り分のみ（目標比が実勢）。前期対応なし</t>
    </r>
  </si>
  <si>
    <r>
      <rPr>
        <rFont val="Noto Sans CJK SC"/>
        <color rgb="FF000000"/>
        <sz val="9.0"/>
      </rPr>
      <t>前期＝リテールビジネス＋越境</t>
    </r>
    <r>
      <rPr>
        <rFont val="Meiryo UI"/>
        <color rgb="FF000000"/>
        <sz val="9.0"/>
      </rPr>
      <t>EC</t>
    </r>
    <r>
      <rPr>
        <rFont val="Noto Sans CJK SC"/>
        <color rgb="FF000000"/>
        <sz val="9.0"/>
      </rPr>
      <t>。</t>
    </r>
    <r>
      <rPr>
        <rFont val="Meiryo UI"/>
        <color rgb="FF000000"/>
        <sz val="9.0"/>
      </rPr>
      <t>0709</t>
    </r>
    <r>
      <rPr>
        <rFont val="Noto Sans CJK SC"/>
        <color rgb="FF000000"/>
        <sz val="9.0"/>
      </rPr>
      <t>版比 粗利</t>
    </r>
    <r>
      <rPr>
        <rFont val="Meiryo UI"/>
        <color rgb="FF000000"/>
        <sz val="9.0"/>
      </rPr>
      <t>+22</t>
    </r>
    <r>
      <rPr>
        <rFont val="Noto Sans CJK SC"/>
        <color rgb="FF000000"/>
        <sz val="9.0"/>
      </rPr>
      <t>（リミテッドパック、</t>
    </r>
    <r>
      <rPr>
        <rFont val="Meiryo UI"/>
        <color rgb="FF000000"/>
        <sz val="9.0"/>
      </rPr>
      <t>60</t>
    </r>
    <r>
      <rPr>
        <rFont val="Noto Sans CJK SC"/>
        <color rgb="FF000000"/>
        <sz val="9.0"/>
      </rPr>
      <t>周年展）</t>
    </r>
  </si>
  <si>
    <r>
      <rPr>
        <rFont val="Noto Sans CJK SC"/>
        <color rgb="FF000000"/>
        <sz val="9.0"/>
      </rPr>
      <t>前期＝ライブ＋グローバルライブ。</t>
    </r>
    <r>
      <rPr>
        <rFont val="Meiryo UI"/>
        <color rgb="FF000000"/>
        <sz val="9.0"/>
      </rPr>
      <t>0709</t>
    </r>
    <r>
      <rPr>
        <rFont val="Noto Sans CJK SC"/>
        <color rgb="FF000000"/>
        <sz val="9.0"/>
      </rPr>
      <t>版比 粗利▲</t>
    </r>
    <r>
      <rPr>
        <rFont val="Meiryo UI"/>
        <color rgb="FF000000"/>
        <sz val="9.0"/>
      </rPr>
      <t>225</t>
    </r>
    <r>
      <rPr>
        <rFont val="Noto Sans CJK SC"/>
        <color rgb="FF000000"/>
        <sz val="9.0"/>
      </rPr>
      <t>のうち実質▲</t>
    </r>
    <r>
      <rPr>
        <rFont val="Meiryo UI"/>
        <color rgb="FF000000"/>
        <sz val="9.0"/>
      </rPr>
      <t>137</t>
    </r>
    <r>
      <rPr>
        <rFont val="Noto Sans CJK SC"/>
        <color rgb="FF000000"/>
        <sz val="9.0"/>
      </rPr>
      <t>＝</t>
    </r>
    <r>
      <rPr>
        <rFont val="Meiryo UI"/>
        <color rgb="FF000000"/>
        <sz val="9.0"/>
      </rPr>
      <t>LSS</t>
    </r>
    <r>
      <rPr>
        <rFont val="Noto Sans CJK SC"/>
        <color rgb="FF000000"/>
        <sz val="9.0"/>
      </rPr>
      <t>メンテチーム人件費等のライブ原価付替（着ぐるみ償却</t>
    </r>
    <r>
      <rPr>
        <rFont val="Meiryo UI"/>
        <color rgb="FF000000"/>
        <sz val="9.0"/>
      </rPr>
      <t>+88</t>
    </r>
    <r>
      <rPr>
        <rFont val="Noto Sans CJK SC"/>
        <color rgb="FF000000"/>
        <sz val="9.0"/>
      </rPr>
      <t>とネット）</t>
    </r>
  </si>
  <si>
    <r>
      <rPr>
        <rFont val="Noto Sans CJK SC"/>
        <color rgb="FF000000"/>
        <sz val="9.0"/>
      </rPr>
      <t>前期対応なし。新配賦基準（旧・本部共通費用</t>
    </r>
    <r>
      <rPr>
        <rFont val="Meiryo UI"/>
        <color rgb="FF000000"/>
        <sz val="9.0"/>
      </rPr>
      <t>274→82</t>
    </r>
    <r>
      <rPr>
        <rFont val="Noto Sans CJK SC"/>
        <color rgb="FF000000"/>
        <sz val="9.0"/>
      </rPr>
      <t>）</t>
    </r>
  </si>
  <si>
    <r>
      <rPr>
        <rFont val="Meiryo UI"/>
        <color rgb="FF000000"/>
        <sz val="9.0"/>
      </rPr>
      <t>66</t>
    </r>
    <r>
      <rPr>
        <rFont val="Noto Sans CJK SC"/>
        <color rgb="FF000000"/>
        <sz val="9.0"/>
      </rPr>
      <t>期新設・前期なし</t>
    </r>
  </si>
  <si>
    <r>
      <rPr>
        <rFont val="Noto Sans CJK SC"/>
        <color rgb="FF000000"/>
        <sz val="9.0"/>
      </rPr>
      <t>前期＝</t>
    </r>
    <r>
      <rPr>
        <rFont val="Meiryo UI"/>
        <color rgb="FF000000"/>
        <sz val="9.0"/>
      </rPr>
      <t>TPC</t>
    </r>
    <r>
      <rPr>
        <rFont val="Noto Sans CJK SC"/>
        <color rgb="FF000000"/>
        <sz val="9.0"/>
      </rPr>
      <t>カード事業合計。★柳沼さん：カード等は未更新（残課題）</t>
    </r>
  </si>
  <si>
    <r>
      <rPr>
        <rFont val="Noto Sans CJK SC"/>
        <color rgb="FF000000"/>
        <sz val="9.0"/>
      </rPr>
      <t>販管費見込</t>
    </r>
    <r>
      <rPr>
        <rFont val="Meiryo UI"/>
        <color rgb="FF000000"/>
        <sz val="9.0"/>
      </rPr>
      <t>132</t>
    </r>
    <r>
      <rPr>
        <rFont val="Noto Sans CJK SC"/>
        <color rgb="FF000000"/>
        <sz val="9.0"/>
      </rPr>
      <t>（</t>
    </r>
    <r>
      <rPr>
        <rFont val="Meiryo UI"/>
        <color rgb="FF000000"/>
        <sz val="9.0"/>
      </rPr>
      <t>HD</t>
    </r>
    <r>
      <rPr>
        <rFont val="Noto Sans CJK SC"/>
        <color rgb="FF000000"/>
        <sz val="9.0"/>
      </rPr>
      <t>予算</t>
    </r>
    <r>
      <rPr>
        <rFont val="Meiryo UI"/>
        <color rgb="FF000000"/>
        <sz val="9.0"/>
      </rPr>
      <t>199</t>
    </r>
    <r>
      <rPr>
        <rFont val="Noto Sans CJK SC"/>
        <color rgb="FF000000"/>
        <sz val="9.0"/>
      </rPr>
      <t>から▲</t>
    </r>
    <r>
      <rPr>
        <rFont val="Meiryo UI"/>
        <color rgb="FF000000"/>
        <sz val="9.0"/>
      </rPr>
      <t>67</t>
    </r>
    <r>
      <rPr>
        <rFont val="Noto Sans CJK SC"/>
        <color rgb="FF000000"/>
        <sz val="9.0"/>
      </rPr>
      <t>）</t>
    </r>
  </si>
  <si>
    <r>
      <rPr>
        <rFont val="Noto Sans CJK SC"/>
        <color rgb="FF000000"/>
        <sz val="9.0"/>
      </rPr>
      <t>販管費の目標・</t>
    </r>
    <r>
      <rPr>
        <rFont val="Meiryo UI"/>
        <color rgb="FF000000"/>
        <sz val="9.0"/>
      </rPr>
      <t>HD</t>
    </r>
    <r>
      <rPr>
        <rFont val="Noto Sans CJK SC"/>
        <color rgb="FF000000"/>
        <sz val="9.0"/>
      </rPr>
      <t>予算</t>
    </r>
    <r>
      <rPr>
        <rFont val="Meiryo UI"/>
        <color rgb="FF000000"/>
        <sz val="9.0"/>
      </rPr>
      <t>365</t>
    </r>
    <r>
      <rPr>
        <rFont val="Noto Sans CJK SC"/>
        <color rgb="FF000000"/>
        <sz val="9.0"/>
      </rPr>
      <t>は製造原価振替の予算組み歪み（見込</t>
    </r>
    <r>
      <rPr>
        <rFont val="Meiryo UI"/>
        <color rgb="FF000000"/>
        <sz val="9.0"/>
      </rPr>
      <t>101</t>
    </r>
    <r>
      <rPr>
        <rFont val="Noto Sans CJK SC"/>
        <color rgb="FF000000"/>
        <sz val="9.0"/>
      </rPr>
      <t>が実勢）</t>
    </r>
  </si>
  <si>
    <r>
      <rPr>
        <rFont val="Noto Sans CJK SC"/>
        <color rgb="FF808080"/>
        <sz val="9.0"/>
      </rPr>
      <t>目標・</t>
    </r>
    <r>
      <rPr>
        <rFont val="Meiryo UI"/>
        <color rgb="FF808080"/>
        <sz val="9.0"/>
      </rPr>
      <t>HD</t>
    </r>
    <r>
      <rPr>
        <rFont val="Noto Sans CJK SC"/>
        <color rgb="FF808080"/>
        <sz val="9.0"/>
      </rPr>
      <t>予算値は製造原価振替</t>
    </r>
    <r>
      <rPr>
        <rFont val="Meiryo UI"/>
        <color rgb="FF808080"/>
        <sz val="9.0"/>
      </rPr>
      <t>312</t>
    </r>
    <r>
      <rPr>
        <rFont val="Noto Sans CJK SC"/>
        <color rgb="FF808080"/>
        <sz val="9.0"/>
      </rPr>
      <t>の歪み（見込▲</t>
    </r>
    <r>
      <rPr>
        <rFont val="Meiryo UI"/>
        <color rgb="FF808080"/>
        <sz val="9.0"/>
      </rPr>
      <t>24</t>
    </r>
    <r>
      <rPr>
        <rFont val="Noto Sans CJK SC"/>
        <color rgb="FF808080"/>
        <sz val="9.0"/>
      </rPr>
      <t>が実勢）。前期＝製作本部の一部（切り出し不能）</t>
    </r>
  </si>
  <si>
    <r>
      <rPr>
        <rFont val="Noto Sans CJK SC"/>
        <color rgb="FF808080"/>
        <sz val="9.0"/>
      </rPr>
      <t>目標比▲</t>
    </r>
    <r>
      <rPr>
        <rFont val="Meiryo UI"/>
        <color rgb="FF808080"/>
        <sz val="9.0"/>
      </rPr>
      <t>150</t>
    </r>
    <r>
      <rPr>
        <rFont val="Noto Sans CJK SC"/>
        <color rgb="FF808080"/>
        <sz val="9.0"/>
      </rPr>
      <t>悪化（総務▲</t>
    </r>
    <r>
      <rPr>
        <rFont val="Meiryo UI"/>
        <color rgb="FF808080"/>
        <sz val="9.0"/>
      </rPr>
      <t>101</t>
    </r>
    <r>
      <rPr>
        <rFont val="Noto Sans CJK SC"/>
        <color rgb="FF808080"/>
        <sz val="9.0"/>
      </rPr>
      <t>・法</t>
    </r>
    <r>
      <rPr>
        <rFont val="Meiryo UI"/>
        <color rgb="FF808080"/>
        <sz val="9.0"/>
      </rPr>
      <t>/</t>
    </r>
    <r>
      <rPr>
        <rFont val="Noto Sans CJK SC"/>
        <color rgb="FF808080"/>
        <sz val="9.0"/>
      </rPr>
      <t>人</t>
    </r>
    <r>
      <rPr>
        <rFont val="Meiryo UI"/>
        <color rgb="FF808080"/>
        <sz val="9.0"/>
      </rPr>
      <t>/</t>
    </r>
    <r>
      <rPr>
        <rFont val="Noto Sans CJK SC"/>
        <color rgb="FF808080"/>
        <sz val="9.0"/>
      </rPr>
      <t>財▲</t>
    </r>
    <r>
      <rPr>
        <rFont val="Meiryo UI"/>
        <color rgb="FF808080"/>
        <sz val="9.0"/>
      </rPr>
      <t>106</t>
    </r>
    <r>
      <rPr>
        <rFont val="Noto Sans CJK SC"/>
        <color rgb="FF808080"/>
        <sz val="9.0"/>
      </rPr>
      <t>が主因）</t>
    </r>
  </si>
  <si>
    <r>
      <rPr>
        <rFont val="Noto Sans CJK SC"/>
        <color rgb="FF000000"/>
        <sz val="9.0"/>
      </rPr>
      <t>前期＝総務</t>
    </r>
    <r>
      <rPr>
        <rFont val="Meiryo UI"/>
        <color rgb="FF000000"/>
        <sz val="9.0"/>
      </rPr>
      <t>G</t>
    </r>
    <r>
      <rPr>
        <rFont val="Noto Sans CJK SC"/>
        <color rgb="FF000000"/>
        <sz val="9.0"/>
      </rPr>
      <t>＋業務システム。営利見込▲</t>
    </r>
    <r>
      <rPr>
        <rFont val="Meiryo UI"/>
        <color rgb="FF000000"/>
        <sz val="9.0"/>
      </rPr>
      <t>194</t>
    </r>
    <r>
      <rPr>
        <rFont val="Noto Sans CJK SC"/>
        <color rgb="FF000000"/>
        <sz val="9.0"/>
      </rPr>
      <t>（目標比▲</t>
    </r>
    <r>
      <rPr>
        <rFont val="Meiryo UI"/>
        <color rgb="FF000000"/>
        <sz val="9.0"/>
      </rPr>
      <t>101</t>
    </r>
    <r>
      <rPr>
        <rFont val="Noto Sans CJK SC"/>
        <color rgb="FF000000"/>
        <sz val="9.0"/>
      </rPr>
      <t>悪化）要因確認</t>
    </r>
  </si>
  <si>
    <r>
      <rPr>
        <rFont val="Noto Sans CJK SC"/>
        <color rgb="FF808080"/>
        <sz val="9.0"/>
      </rPr>
      <t>未選定</t>
    </r>
    <r>
      <rPr>
        <rFont val="Meiryo UI"/>
        <color rgb="FF808080"/>
        <sz val="9.0"/>
      </rPr>
      <t>3</t>
    </r>
    <r>
      <rPr>
        <rFont val="Noto Sans CJK SC"/>
        <color rgb="FF808080"/>
        <sz val="9.0"/>
      </rPr>
      <t>部門の合算。人事▲</t>
    </r>
    <r>
      <rPr>
        <rFont val="Meiryo UI"/>
        <color rgb="FF808080"/>
        <sz val="9.0"/>
      </rPr>
      <t>38</t>
    </r>
    <r>
      <rPr>
        <rFont val="Noto Sans CJK SC"/>
        <color rgb="FF808080"/>
        <sz val="9.0"/>
      </rPr>
      <t>・財務経理▲</t>
    </r>
    <r>
      <rPr>
        <rFont val="Meiryo UI"/>
        <color rgb="FF808080"/>
        <sz val="9.0"/>
      </rPr>
      <t>89</t>
    </r>
    <r>
      <rPr>
        <rFont val="Noto Sans CJK SC"/>
        <color rgb="FF808080"/>
        <sz val="9.0"/>
      </rPr>
      <t>が目標比悪化（租税公課外形</t>
    </r>
    <r>
      <rPr>
        <rFont val="Meiryo UI"/>
        <color rgb="FF808080"/>
        <sz val="9.0"/>
      </rPr>
      <t>+25</t>
    </r>
    <r>
      <rPr>
        <rFont val="Noto Sans CJK SC"/>
        <color rgb="FF808080"/>
        <sz val="9.0"/>
      </rPr>
      <t>・退職金引当</t>
    </r>
    <r>
      <rPr>
        <rFont val="Meiryo UI"/>
        <color rgb="FF808080"/>
        <sz val="9.0"/>
      </rPr>
      <t>+8</t>
    </r>
    <r>
      <rPr>
        <rFont val="Noto Sans CJK SC"/>
        <color rgb="FF808080"/>
        <sz val="9.0"/>
      </rPr>
      <t>の</t>
    </r>
    <r>
      <rPr>
        <rFont val="Meiryo UI"/>
        <color rgb="FF808080"/>
        <sz val="9.0"/>
      </rPr>
      <t>8/12</t>
    </r>
    <r>
      <rPr>
        <rFont val="Noto Sans CJK SC"/>
        <color rgb="FF808080"/>
        <sz val="9.0"/>
      </rPr>
      <t>反映含む）</t>
    </r>
  </si>
  <si>
    <r>
      <rPr>
        <rFont val="Noto Sans CJK SC"/>
        <color rgb="FF000000"/>
        <sz val="9.0"/>
      </rPr>
      <t>着ぐるみ償却のライブ付替に伴う二重計上を修正済み（粗利▲</t>
    </r>
    <r>
      <rPr>
        <rFont val="Meiryo UI"/>
        <color rgb="FF000000"/>
        <sz val="9.0"/>
      </rPr>
      <t>564→▲503</t>
    </r>
    <r>
      <rPr>
        <rFont val="Noto Sans CJK SC"/>
        <color rgb="FF000000"/>
        <sz val="9.0"/>
      </rPr>
      <t>、</t>
    </r>
    <r>
      <rPr>
        <rFont val="Meiryo UI"/>
        <color rgb="FF000000"/>
        <sz val="9.0"/>
      </rPr>
      <t>+61</t>
    </r>
    <r>
      <rPr>
        <rFont val="Noto Sans CJK SC"/>
        <color rgb="FF000000"/>
        <sz val="9.0"/>
      </rPr>
      <t>）</t>
    </r>
  </si>
  <si>
    <r>
      <rPr>
        <rFont val="Noto Sans CJK SC"/>
        <color rgb="FF000000"/>
        <sz val="9.0"/>
      </rPr>
      <t>前期＝</t>
    </r>
    <r>
      <rPr>
        <rFont val="Meiryo UI"/>
        <color rgb="FF000000"/>
        <sz val="9.0"/>
      </rPr>
      <t>65</t>
    </r>
    <r>
      <rPr>
        <rFont val="Noto Sans CJK SC"/>
        <color rgb="FF000000"/>
        <sz val="9.0"/>
      </rPr>
      <t>期マーケティング本部合計</t>
    </r>
  </si>
  <si>
    <r>
      <rPr>
        <rFont val="Noto Sans CJK SC"/>
        <color rgb="FF000000"/>
        <sz val="9.0"/>
      </rPr>
      <t>前期該当なし。本社共通費配賦</t>
    </r>
    <r>
      <rPr>
        <rFont val="Meiryo UI"/>
        <color rgb="FF000000"/>
        <sz val="9.0"/>
      </rPr>
      <t>193</t>
    </r>
    <r>
      <rPr>
        <rFont val="Noto Sans CJK SC"/>
        <color rgb="FF000000"/>
        <sz val="9.0"/>
      </rPr>
      <t>を含む（発生▲</t>
    </r>
    <r>
      <rPr>
        <rFont val="Meiryo UI"/>
        <color rgb="FF000000"/>
        <sz val="9.0"/>
      </rPr>
      <t>16</t>
    </r>
    <r>
      <rPr>
        <rFont val="Noto Sans CJK SC"/>
        <color rgb="FF000000"/>
        <sz val="9.0"/>
      </rPr>
      <t>）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</si>
</sst>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&quot;▲ &quot;#,##0;\-"/>
  </numFmts>
  <fonts count="17">
    <font>
      <sz val="11.0"/>
      <color theme="1"/>
      <name val="Calibri"/>
      <scheme val="minor"/>
    </font>
    <font>
      <b/>
      <sz val="14.0"/>
      <color theme="1"/>
      <name val="Noto Sans"/>
    </font>
    <font>
      <b/>
      <sz val="10.0"/>
      <color theme="1"/>
      <name val="Noto Sans"/>
    </font>
    <font>
      <sz val="9.0"/>
      <color rgb="FF808080"/>
      <name val="Noto Sans"/>
    </font>
    <font>
      <sz val="10.0"/>
      <color theme="1"/>
      <name val="Noto Sans"/>
    </font>
    <font>
      <b/>
      <sz val="11.0"/>
      <color rgb="FFFFFFFF"/>
      <name val="Noto Sans"/>
    </font>
    <font/>
    <font>
      <b/>
      <sz val="9.0"/>
      <color theme="1"/>
      <name val="Noto Sans"/>
    </font>
    <font>
      <b/>
      <sz val="10.0"/>
      <color rgb="FF000000"/>
      <name val="Noto Sans"/>
    </font>
    <font>
      <b/>
      <sz val="10.0"/>
      <color rgb="FF000000"/>
      <name val="Meiryo"/>
    </font>
    <font>
      <b/>
      <sz val="9.0"/>
      <color theme="1"/>
      <name val="Meiryo"/>
    </font>
    <font>
      <sz val="10.0"/>
      <color rgb="FF808080"/>
      <name val="Noto Sans"/>
    </font>
    <font>
      <sz val="10.0"/>
      <color rgb="FF808080"/>
      <name val="Meiryo"/>
    </font>
    <font>
      <sz val="10.0"/>
      <color rgb="FF000000"/>
      <name val="Noto Sans"/>
    </font>
    <font>
      <sz val="10.0"/>
      <color rgb="FF000000"/>
      <name val="Meiryo"/>
    </font>
    <font>
      <sz val="9.0"/>
      <color rgb="FF000000"/>
      <name val="Noto Sans"/>
    </font>
    <font>
      <sz val="9.0"/>
      <color rgb="FF000000"/>
      <name val="Meiryo"/>
    </font>
  </fonts>
  <fills count="8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</fills>
  <borders count="7">
    <border/>
    <border>
      <left/>
      <right/>
      <top/>
    </border>
    <border>
      <left/>
      <top/>
      <bottom/>
    </border>
    <border>
      <top/>
      <bottom/>
    </border>
    <border>
      <right/>
      <top/>
      <bottom/>
    </border>
    <border>
      <left/>
      <right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shrinkToFit="0" vertical="bottom" wrapText="0"/>
    </xf>
    <xf borderId="2" fillId="2" fontId="5" numFmtId="0" xfId="0" applyAlignment="1" applyBorder="1" applyFont="1">
      <alignment horizontal="center" shrinkToFit="0" vertical="bottom" wrapText="0"/>
    </xf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3" fontId="7" numFmtId="0" xfId="0" applyAlignment="1" applyBorder="1" applyFill="1" applyFont="1">
      <alignment horizontal="center" shrinkToFit="0" vertical="bottom" wrapText="1"/>
    </xf>
    <xf borderId="6" fillId="4" fontId="7" numFmtId="0" xfId="0" applyAlignment="1" applyBorder="1" applyFill="1" applyFont="1">
      <alignment horizontal="center" shrinkToFit="0" vertical="bottom" wrapText="1"/>
    </xf>
    <xf borderId="6" fillId="5" fontId="7" numFmtId="0" xfId="0" applyAlignment="1" applyBorder="1" applyFill="1" applyFont="1">
      <alignment horizontal="center" shrinkToFit="0" vertical="bottom" wrapText="1"/>
    </xf>
    <xf borderId="6" fillId="6" fontId="7" numFmtId="0" xfId="0" applyAlignment="1" applyBorder="1" applyFill="1" applyFont="1">
      <alignment horizontal="center" shrinkToFit="0" vertical="bottom" wrapText="1"/>
    </xf>
    <xf borderId="6" fillId="7" fontId="8" numFmtId="0" xfId="0" applyAlignment="1" applyBorder="1" applyFill="1" applyFont="1">
      <alignment shrinkToFit="0" vertical="bottom" wrapText="0"/>
    </xf>
    <xf borderId="6" fillId="7" fontId="9" numFmtId="164" xfId="0" applyAlignment="1" applyBorder="1" applyFont="1" applyNumberFormat="1">
      <alignment shrinkToFit="0" vertical="bottom" wrapText="0"/>
    </xf>
    <xf borderId="6" fillId="3" fontId="10" numFmtId="0" xfId="0" applyAlignment="1" applyBorder="1" applyFont="1">
      <alignment horizontal="center" shrinkToFit="0" vertical="bottom" wrapText="1"/>
    </xf>
    <xf borderId="6" fillId="4" fontId="10" numFmtId="0" xfId="0" applyAlignment="1" applyBorder="1" applyFont="1">
      <alignment horizontal="center" shrinkToFit="0" vertical="bottom" wrapText="1"/>
    </xf>
    <xf borderId="6" fillId="5" fontId="10" numFmtId="0" xfId="0" applyAlignment="1" applyBorder="1" applyFont="1">
      <alignment horizontal="center" shrinkToFit="0" vertical="bottom" wrapText="1"/>
    </xf>
    <xf borderId="6" fillId="6" fontId="10" numFmtId="0" xfId="0" applyAlignment="1" applyBorder="1" applyFont="1">
      <alignment horizontal="center" shrinkToFit="0" vertical="bottom" wrapText="1"/>
    </xf>
    <xf borderId="6" fillId="0" fontId="11" numFmtId="0" xfId="0" applyAlignment="1" applyBorder="1" applyFont="1">
      <alignment shrinkToFit="0" vertical="bottom" wrapText="0"/>
    </xf>
    <xf borderId="6" fillId="0" fontId="12" numFmtId="164" xfId="0" applyAlignment="1" applyBorder="1" applyFont="1" applyNumberFormat="1">
      <alignment shrinkToFit="0" vertical="bottom" wrapText="0"/>
    </xf>
    <xf borderId="6" fillId="0" fontId="13" numFmtId="0" xfId="0" applyAlignment="1" applyBorder="1" applyFont="1">
      <alignment shrinkToFit="0" vertical="bottom" wrapText="0"/>
    </xf>
    <xf borderId="6" fillId="0" fontId="14" numFmtId="164" xfId="0" applyAlignment="1" applyBorder="1" applyFont="1" applyNumberFormat="1">
      <alignment shrinkToFit="0" vertical="bottom" wrapText="0"/>
    </xf>
    <xf borderId="6" fillId="7" fontId="15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shrinkToFit="0" vertical="bottom" wrapText="0"/>
    </xf>
    <xf borderId="6" fillId="0" fontId="15" numFmtId="0" xfId="0" applyAlignment="1" applyBorder="1" applyFont="1">
      <alignment shrinkToFit="0" vertical="bottom" wrapText="0"/>
    </xf>
    <xf borderId="6" fillId="0" fontId="16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2.0"/>
    <col customWidth="1" min="2" max="13" width="10.57"/>
    <col customWidth="1" min="14" max="26" width="8.71"/>
  </cols>
  <sheetData>
    <row r="1">
      <c r="A1" s="1" t="s">
        <v>0</v>
      </c>
    </row>
    <row r="2">
      <c r="A2" s="3" t="s">
        <v>2</v>
      </c>
    </row>
    <row r="4">
      <c r="A4" s="5" t="s">
        <v>4</v>
      </c>
      <c r="B4" s="6" t="s">
        <v>7</v>
      </c>
      <c r="C4" s="7"/>
      <c r="D4" s="8"/>
      <c r="E4" s="6" t="s">
        <v>9</v>
      </c>
      <c r="F4" s="7"/>
      <c r="G4" s="8"/>
      <c r="H4" s="6" t="s">
        <v>11</v>
      </c>
      <c r="I4" s="7"/>
      <c r="J4" s="8"/>
      <c r="K4" s="6" t="s">
        <v>13</v>
      </c>
      <c r="L4" s="7"/>
      <c r="M4" s="8"/>
    </row>
    <row r="5" ht="27.75" customHeight="1">
      <c r="A5" s="9"/>
      <c r="B5" s="10" t="s">
        <v>17</v>
      </c>
      <c r="C5" s="10" t="s">
        <v>18</v>
      </c>
      <c r="D5" s="10" t="s">
        <v>19</v>
      </c>
      <c r="E5" s="11" t="s">
        <v>20</v>
      </c>
      <c r="F5" s="11" t="s">
        <v>18</v>
      </c>
      <c r="G5" s="11" t="s">
        <v>19</v>
      </c>
      <c r="H5" s="12" t="s">
        <v>23</v>
      </c>
      <c r="I5" s="12" t="s">
        <v>18</v>
      </c>
      <c r="J5" s="12" t="s">
        <v>19</v>
      </c>
      <c r="K5" s="13" t="s">
        <v>27</v>
      </c>
      <c r="L5" s="13" t="s">
        <v>18</v>
      </c>
      <c r="M5" s="13" t="s">
        <v>19</v>
      </c>
    </row>
    <row r="6">
      <c r="A6" s="14" t="s">
        <v>29</v>
      </c>
      <c r="B6" s="15">
        <v>8277.0</v>
      </c>
      <c r="C6" s="15">
        <v>8246.0</v>
      </c>
      <c r="D6" s="15">
        <f t="shared" ref="D6:D37" si="1">C6-B6</f>
        <v>-31</v>
      </c>
      <c r="E6" s="15">
        <v>4867.0</v>
      </c>
      <c r="F6" s="15">
        <v>4585.0</v>
      </c>
      <c r="G6" s="15">
        <f t="shared" ref="G6:G37" si="2">F6-E6</f>
        <v>-282</v>
      </c>
      <c r="H6" s="15">
        <v>2500.0</v>
      </c>
      <c r="I6" s="15">
        <v>2603.0</v>
      </c>
      <c r="J6" s="15">
        <f t="shared" ref="J6:J37" si="3">I6-H6</f>
        <v>103</v>
      </c>
      <c r="K6" s="15">
        <v>2367.0</v>
      </c>
      <c r="L6" s="15">
        <v>1981.0</v>
      </c>
      <c r="M6" s="15">
        <f t="shared" ref="M6:M37" si="4">L6-K6</f>
        <v>-386</v>
      </c>
    </row>
    <row r="7">
      <c r="A7" s="14" t="s">
        <v>51</v>
      </c>
      <c r="B7" s="15">
        <v>6829.0</v>
      </c>
      <c r="C7" s="15">
        <v>6823.0</v>
      </c>
      <c r="D7" s="15">
        <f t="shared" si="1"/>
        <v>-6</v>
      </c>
      <c r="E7" s="15">
        <v>5157.0</v>
      </c>
      <c r="F7" s="15">
        <v>4856.0</v>
      </c>
      <c r="G7" s="15">
        <f t="shared" si="2"/>
        <v>-301</v>
      </c>
      <c r="H7" s="15">
        <v>945.0</v>
      </c>
      <c r="I7" s="15">
        <v>1018.0</v>
      </c>
      <c r="J7" s="15">
        <f t="shared" si="3"/>
        <v>73</v>
      </c>
      <c r="K7" s="15">
        <v>4212.0</v>
      </c>
      <c r="L7" s="15">
        <v>3838.0</v>
      </c>
      <c r="M7" s="15">
        <f t="shared" si="4"/>
        <v>-374</v>
      </c>
    </row>
    <row r="8">
      <c r="A8" s="20" t="s">
        <v>55</v>
      </c>
      <c r="B8" s="21">
        <v>3985.0</v>
      </c>
      <c r="C8" s="21">
        <v>3828.0</v>
      </c>
      <c r="D8" s="21">
        <f t="shared" si="1"/>
        <v>-157</v>
      </c>
      <c r="E8" s="21">
        <v>3506.0</v>
      </c>
      <c r="F8" s="21">
        <v>3289.0</v>
      </c>
      <c r="G8" s="21">
        <f t="shared" si="2"/>
        <v>-217</v>
      </c>
      <c r="H8" s="21">
        <v>425.0</v>
      </c>
      <c r="I8" s="21">
        <v>429.0</v>
      </c>
      <c r="J8" s="21">
        <f t="shared" si="3"/>
        <v>4</v>
      </c>
      <c r="K8" s="21">
        <v>3080.0</v>
      </c>
      <c r="L8" s="21">
        <v>2860.0</v>
      </c>
      <c r="M8" s="21">
        <f t="shared" si="4"/>
        <v>-220</v>
      </c>
    </row>
    <row r="9">
      <c r="A9" s="22" t="s">
        <v>56</v>
      </c>
      <c r="B9" s="23">
        <v>342.0</v>
      </c>
      <c r="C9" s="23">
        <v>302.0</v>
      </c>
      <c r="D9" s="23">
        <f t="shared" si="1"/>
        <v>-40</v>
      </c>
      <c r="E9" s="23">
        <v>342.0</v>
      </c>
      <c r="F9" s="23">
        <v>283.0</v>
      </c>
      <c r="G9" s="23">
        <f t="shared" si="2"/>
        <v>-59</v>
      </c>
      <c r="H9" s="23">
        <v>73.0</v>
      </c>
      <c r="I9" s="23">
        <v>75.0</v>
      </c>
      <c r="J9" s="23">
        <f t="shared" si="3"/>
        <v>2</v>
      </c>
      <c r="K9" s="23">
        <v>269.0</v>
      </c>
      <c r="L9" s="23">
        <v>207.0</v>
      </c>
      <c r="M9" s="23">
        <f t="shared" si="4"/>
        <v>-62</v>
      </c>
    </row>
    <row r="10">
      <c r="A10" s="22" t="s">
        <v>57</v>
      </c>
      <c r="B10" s="23">
        <v>911.0</v>
      </c>
      <c r="C10" s="23">
        <v>904.0</v>
      </c>
      <c r="D10" s="23">
        <f t="shared" si="1"/>
        <v>-7</v>
      </c>
      <c r="E10" s="23">
        <v>553.0</v>
      </c>
      <c r="F10" s="23">
        <v>549.0</v>
      </c>
      <c r="G10" s="23">
        <f t="shared" si="2"/>
        <v>-4</v>
      </c>
      <c r="H10" s="23">
        <v>57.0</v>
      </c>
      <c r="I10" s="23">
        <v>90.0</v>
      </c>
      <c r="J10" s="23">
        <f t="shared" si="3"/>
        <v>33</v>
      </c>
      <c r="K10" s="23">
        <v>495.0</v>
      </c>
      <c r="L10" s="23">
        <v>459.0</v>
      </c>
      <c r="M10" s="23">
        <f t="shared" si="4"/>
        <v>-36</v>
      </c>
    </row>
    <row r="11">
      <c r="A11" s="22" t="s">
        <v>58</v>
      </c>
      <c r="B11" s="23">
        <v>52.0</v>
      </c>
      <c r="C11" s="23">
        <v>-57.0</v>
      </c>
      <c r="D11" s="23">
        <f t="shared" si="1"/>
        <v>-109</v>
      </c>
      <c r="E11" s="23">
        <v>49.0</v>
      </c>
      <c r="F11" s="23">
        <v>26.0</v>
      </c>
      <c r="G11" s="23">
        <f t="shared" si="2"/>
        <v>-23</v>
      </c>
      <c r="H11" s="23">
        <v>1.0</v>
      </c>
      <c r="I11" s="23">
        <v>68.0</v>
      </c>
      <c r="J11" s="23">
        <f t="shared" si="3"/>
        <v>67</v>
      </c>
      <c r="K11" s="23">
        <v>49.0</v>
      </c>
      <c r="L11" s="23">
        <v>-41.0</v>
      </c>
      <c r="M11" s="23">
        <f t="shared" si="4"/>
        <v>-90</v>
      </c>
    </row>
    <row r="12">
      <c r="A12" s="22" t="s">
        <v>59</v>
      </c>
      <c r="B12" s="23">
        <v>2680.0</v>
      </c>
      <c r="C12" s="23">
        <v>2680.0</v>
      </c>
      <c r="D12" s="23">
        <f t="shared" si="1"/>
        <v>0</v>
      </c>
      <c r="E12" s="23">
        <v>2562.0</v>
      </c>
      <c r="F12" s="23">
        <v>2431.0</v>
      </c>
      <c r="G12" s="23">
        <f t="shared" si="2"/>
        <v>-131</v>
      </c>
      <c r="H12" s="23">
        <v>294.0</v>
      </c>
      <c r="I12" s="23">
        <v>196.0</v>
      </c>
      <c r="J12" s="23">
        <f t="shared" si="3"/>
        <v>-98</v>
      </c>
      <c r="K12" s="23">
        <v>2268.0</v>
      </c>
      <c r="L12" s="23">
        <v>2235.0</v>
      </c>
      <c r="M12" s="23">
        <f t="shared" si="4"/>
        <v>-33</v>
      </c>
    </row>
    <row r="13">
      <c r="A13" s="22" t="s">
        <v>60</v>
      </c>
      <c r="B13" s="23">
        <v>1035.0</v>
      </c>
      <c r="C13" s="23">
        <v>1084.0</v>
      </c>
      <c r="D13" s="23">
        <f t="shared" si="1"/>
        <v>49</v>
      </c>
      <c r="E13" s="23">
        <v>919.0</v>
      </c>
      <c r="F13" s="23">
        <v>998.0</v>
      </c>
      <c r="G13" s="23">
        <f t="shared" si="2"/>
        <v>79</v>
      </c>
      <c r="H13" s="23">
        <v>129.0</v>
      </c>
      <c r="I13" s="23">
        <v>186.0</v>
      </c>
      <c r="J13" s="23">
        <f t="shared" si="3"/>
        <v>57</v>
      </c>
      <c r="K13" s="23">
        <v>790.0</v>
      </c>
      <c r="L13" s="23">
        <v>813.0</v>
      </c>
      <c r="M13" s="23">
        <f t="shared" si="4"/>
        <v>23</v>
      </c>
    </row>
    <row r="14">
      <c r="A14" s="22" t="s">
        <v>61</v>
      </c>
      <c r="B14" s="23">
        <v>847.0</v>
      </c>
      <c r="C14" s="23">
        <v>842.0</v>
      </c>
      <c r="D14" s="23">
        <f t="shared" si="1"/>
        <v>-5</v>
      </c>
      <c r="E14" s="23">
        <v>780.0</v>
      </c>
      <c r="F14" s="23">
        <v>798.0</v>
      </c>
      <c r="G14" s="23">
        <f t="shared" si="2"/>
        <v>18</v>
      </c>
      <c r="H14" s="23">
        <v>63.0</v>
      </c>
      <c r="I14" s="23">
        <v>92.0</v>
      </c>
      <c r="J14" s="23">
        <f t="shared" si="3"/>
        <v>29</v>
      </c>
      <c r="K14" s="23">
        <v>717.0</v>
      </c>
      <c r="L14" s="23">
        <v>706.0</v>
      </c>
      <c r="M14" s="23">
        <f t="shared" si="4"/>
        <v>-11</v>
      </c>
    </row>
    <row r="15">
      <c r="A15" s="22" t="s">
        <v>62</v>
      </c>
      <c r="B15" s="23">
        <v>188.0</v>
      </c>
      <c r="C15" s="23">
        <v>242.0</v>
      </c>
      <c r="D15" s="23">
        <f t="shared" si="1"/>
        <v>54</v>
      </c>
      <c r="E15" s="23">
        <v>139.0</v>
      </c>
      <c r="F15" s="23">
        <v>200.0</v>
      </c>
      <c r="G15" s="23">
        <f t="shared" si="2"/>
        <v>61</v>
      </c>
      <c r="H15" s="23">
        <v>66.0</v>
      </c>
      <c r="I15" s="23">
        <v>94.0</v>
      </c>
      <c r="J15" s="23">
        <f t="shared" si="3"/>
        <v>28</v>
      </c>
      <c r="K15" s="23">
        <v>73.0</v>
      </c>
      <c r="L15" s="23">
        <v>106.0</v>
      </c>
      <c r="M15" s="23">
        <f t="shared" si="4"/>
        <v>33</v>
      </c>
    </row>
    <row r="16">
      <c r="A16" s="22" t="s">
        <v>64</v>
      </c>
      <c r="B16" s="23">
        <v>543.0</v>
      </c>
      <c r="C16" s="23">
        <v>591.0</v>
      </c>
      <c r="D16" s="23">
        <f t="shared" si="1"/>
        <v>48</v>
      </c>
      <c r="E16" s="23">
        <v>283.0</v>
      </c>
      <c r="F16" s="23">
        <v>304.0</v>
      </c>
      <c r="G16" s="23">
        <f t="shared" si="2"/>
        <v>21</v>
      </c>
      <c r="H16" s="23">
        <v>139.0</v>
      </c>
      <c r="I16" s="23">
        <v>145.0</v>
      </c>
      <c r="J16" s="23">
        <f t="shared" si="3"/>
        <v>6</v>
      </c>
      <c r="K16" s="23">
        <v>144.0</v>
      </c>
      <c r="L16" s="23">
        <v>159.0</v>
      </c>
      <c r="M16" s="23">
        <f t="shared" si="4"/>
        <v>15</v>
      </c>
    </row>
    <row r="17">
      <c r="A17" s="22" t="s">
        <v>65</v>
      </c>
      <c r="B17" s="23">
        <v>1266.0</v>
      </c>
      <c r="C17" s="23">
        <v>1320.0</v>
      </c>
      <c r="D17" s="23">
        <f t="shared" si="1"/>
        <v>54</v>
      </c>
      <c r="E17" s="23">
        <v>450.0</v>
      </c>
      <c r="F17" s="23">
        <v>265.0</v>
      </c>
      <c r="G17" s="23">
        <f t="shared" si="2"/>
        <v>-185</v>
      </c>
      <c r="H17" s="23">
        <v>170.0</v>
      </c>
      <c r="I17" s="23">
        <v>168.0</v>
      </c>
      <c r="J17" s="23">
        <f t="shared" si="3"/>
        <v>-2</v>
      </c>
      <c r="K17" s="23">
        <v>280.0</v>
      </c>
      <c r="L17" s="23">
        <v>97.0</v>
      </c>
      <c r="M17" s="23">
        <f t="shared" si="4"/>
        <v>-183</v>
      </c>
    </row>
    <row r="18">
      <c r="A18" s="22" t="s">
        <v>66</v>
      </c>
      <c r="B18" s="23">
        <v>0.0</v>
      </c>
      <c r="C18" s="23">
        <v>0.0</v>
      </c>
      <c r="D18" s="23">
        <f t="shared" si="1"/>
        <v>0</v>
      </c>
      <c r="E18" s="23">
        <v>0.0</v>
      </c>
      <c r="F18" s="23">
        <v>0.0</v>
      </c>
      <c r="G18" s="23">
        <f t="shared" si="2"/>
        <v>0</v>
      </c>
      <c r="H18" s="23">
        <v>82.0</v>
      </c>
      <c r="I18" s="23">
        <v>91.0</v>
      </c>
      <c r="J18" s="23">
        <f t="shared" si="3"/>
        <v>9</v>
      </c>
      <c r="K18" s="23">
        <v>-82.0</v>
      </c>
      <c r="L18" s="23">
        <v>-91.0</v>
      </c>
      <c r="M18" s="23">
        <f t="shared" si="4"/>
        <v>-9</v>
      </c>
    </row>
    <row r="19">
      <c r="A19" s="14" t="s">
        <v>67</v>
      </c>
      <c r="B19" s="15">
        <v>884.0</v>
      </c>
      <c r="C19" s="15">
        <v>858.0</v>
      </c>
      <c r="D19" s="15">
        <f t="shared" si="1"/>
        <v>-26</v>
      </c>
      <c r="E19" s="15">
        <v>359.0</v>
      </c>
      <c r="F19" s="15">
        <v>355.0</v>
      </c>
      <c r="G19" s="15">
        <f t="shared" si="2"/>
        <v>-4</v>
      </c>
      <c r="H19" s="15">
        <v>256.0</v>
      </c>
      <c r="I19" s="15">
        <v>281.0</v>
      </c>
      <c r="J19" s="15">
        <f t="shared" si="3"/>
        <v>25</v>
      </c>
      <c r="K19" s="15">
        <v>103.0</v>
      </c>
      <c r="L19" s="15">
        <v>74.0</v>
      </c>
      <c r="M19" s="15">
        <f t="shared" si="4"/>
        <v>-29</v>
      </c>
    </row>
    <row r="20">
      <c r="A20" s="22" t="s">
        <v>68</v>
      </c>
      <c r="B20" s="23">
        <v>0.0</v>
      </c>
      <c r="C20" s="23">
        <v>0.0</v>
      </c>
      <c r="D20" s="23">
        <f t="shared" si="1"/>
        <v>0</v>
      </c>
      <c r="E20" s="23">
        <v>0.0</v>
      </c>
      <c r="F20" s="23">
        <v>0.0</v>
      </c>
      <c r="G20" s="23">
        <f t="shared" si="2"/>
        <v>0</v>
      </c>
      <c r="H20" s="23">
        <v>47.0</v>
      </c>
      <c r="I20" s="23">
        <v>49.0</v>
      </c>
      <c r="J20" s="23">
        <f t="shared" si="3"/>
        <v>2</v>
      </c>
      <c r="K20" s="23">
        <v>-47.0</v>
      </c>
      <c r="L20" s="23">
        <v>-49.0</v>
      </c>
      <c r="M20" s="23">
        <f t="shared" si="4"/>
        <v>-2</v>
      </c>
    </row>
    <row r="21" ht="15.75" customHeight="1">
      <c r="A21" s="22" t="s">
        <v>70</v>
      </c>
      <c r="B21" s="23">
        <v>884.0</v>
      </c>
      <c r="C21" s="23">
        <v>858.0</v>
      </c>
      <c r="D21" s="23">
        <f t="shared" si="1"/>
        <v>-26</v>
      </c>
      <c r="E21" s="23">
        <v>359.0</v>
      </c>
      <c r="F21" s="23">
        <v>355.0</v>
      </c>
      <c r="G21" s="23">
        <f t="shared" si="2"/>
        <v>-4</v>
      </c>
      <c r="H21" s="23">
        <v>209.0</v>
      </c>
      <c r="I21" s="23">
        <v>233.0</v>
      </c>
      <c r="J21" s="23">
        <f t="shared" si="3"/>
        <v>24</v>
      </c>
      <c r="K21" s="23">
        <v>150.0</v>
      </c>
      <c r="L21" s="23">
        <v>123.0</v>
      </c>
      <c r="M21" s="23">
        <f t="shared" si="4"/>
        <v>-27</v>
      </c>
    </row>
    <row r="22" ht="15.75" customHeight="1">
      <c r="A22" s="14" t="s">
        <v>72</v>
      </c>
      <c r="B22" s="15">
        <v>1193.0</v>
      </c>
      <c r="C22" s="15">
        <v>1194.0</v>
      </c>
      <c r="D22" s="15">
        <f t="shared" si="1"/>
        <v>1</v>
      </c>
      <c r="E22" s="15">
        <v>-126.0</v>
      </c>
      <c r="F22" s="15">
        <v>-123.0</v>
      </c>
      <c r="G22" s="15">
        <f t="shared" si="2"/>
        <v>3</v>
      </c>
      <c r="H22" s="15">
        <v>277.0</v>
      </c>
      <c r="I22" s="15">
        <v>258.0</v>
      </c>
      <c r="J22" s="15">
        <f t="shared" si="3"/>
        <v>-19</v>
      </c>
      <c r="K22" s="15">
        <v>-403.0</v>
      </c>
      <c r="L22" s="15">
        <v>-381.0</v>
      </c>
      <c r="M22" s="15">
        <f t="shared" si="4"/>
        <v>22</v>
      </c>
    </row>
    <row r="23" ht="15.75" customHeight="1">
      <c r="A23" s="22" t="s">
        <v>73</v>
      </c>
      <c r="B23" s="23">
        <v>1182.0</v>
      </c>
      <c r="C23" s="23">
        <v>1181.0</v>
      </c>
      <c r="D23" s="23">
        <f t="shared" si="1"/>
        <v>-1</v>
      </c>
      <c r="E23" s="23">
        <v>0.0</v>
      </c>
      <c r="F23" s="23">
        <v>-11.0</v>
      </c>
      <c r="G23" s="23">
        <f t="shared" si="2"/>
        <v>-11</v>
      </c>
      <c r="H23" s="23">
        <v>199.0</v>
      </c>
      <c r="I23" s="23">
        <v>132.0</v>
      </c>
      <c r="J23" s="23">
        <f t="shared" si="3"/>
        <v>-67</v>
      </c>
      <c r="K23" s="23">
        <v>-199.0</v>
      </c>
      <c r="L23" s="23">
        <v>-143.0</v>
      </c>
      <c r="M23" s="23">
        <f t="shared" si="4"/>
        <v>56</v>
      </c>
    </row>
    <row r="24" ht="15.75" customHeight="1">
      <c r="A24" s="22" t="s">
        <v>74</v>
      </c>
      <c r="B24" s="23">
        <v>11.0</v>
      </c>
      <c r="C24" s="23">
        <v>13.0</v>
      </c>
      <c r="D24" s="23">
        <f t="shared" si="1"/>
        <v>2</v>
      </c>
      <c r="E24" s="23">
        <v>-126.0</v>
      </c>
      <c r="F24" s="23">
        <v>-112.0</v>
      </c>
      <c r="G24" s="23">
        <f t="shared" si="2"/>
        <v>14</v>
      </c>
      <c r="H24" s="23">
        <v>365.0</v>
      </c>
      <c r="I24" s="23">
        <v>101.0</v>
      </c>
      <c r="J24" s="23">
        <f t="shared" si="3"/>
        <v>-264</v>
      </c>
      <c r="K24" s="23">
        <v>-491.0</v>
      </c>
      <c r="L24" s="23">
        <v>-214.0</v>
      </c>
      <c r="M24" s="23">
        <f t="shared" si="4"/>
        <v>277</v>
      </c>
    </row>
    <row r="25" ht="15.75" customHeight="1">
      <c r="A25" s="20" t="s">
        <v>76</v>
      </c>
      <c r="B25" s="21">
        <v>0.0</v>
      </c>
      <c r="C25" s="21">
        <v>0.0</v>
      </c>
      <c r="D25" s="21">
        <f t="shared" si="1"/>
        <v>0</v>
      </c>
      <c r="E25" s="21">
        <v>0.0</v>
      </c>
      <c r="F25" s="21">
        <v>0.0</v>
      </c>
      <c r="G25" s="21">
        <f t="shared" si="2"/>
        <v>0</v>
      </c>
      <c r="H25" s="21">
        <v>-287.0</v>
      </c>
      <c r="I25" s="21">
        <v>24.0</v>
      </c>
      <c r="J25" s="21">
        <f t="shared" si="3"/>
        <v>311</v>
      </c>
      <c r="K25" s="21">
        <v>287.0</v>
      </c>
      <c r="L25" s="21">
        <v>-24.0</v>
      </c>
      <c r="M25" s="21">
        <f t="shared" si="4"/>
        <v>-311</v>
      </c>
    </row>
    <row r="26" ht="15.75" customHeight="1">
      <c r="A26" s="14" t="s">
        <v>77</v>
      </c>
      <c r="B26" s="15">
        <v>-629.0</v>
      </c>
      <c r="C26" s="15">
        <v>-629.0</v>
      </c>
      <c r="D26" s="15">
        <f t="shared" si="1"/>
        <v>0</v>
      </c>
      <c r="E26" s="15">
        <v>-524.0</v>
      </c>
      <c r="F26" s="15">
        <v>-504.0</v>
      </c>
      <c r="G26" s="15">
        <f t="shared" si="2"/>
        <v>20</v>
      </c>
      <c r="H26" s="15">
        <v>1022.0</v>
      </c>
      <c r="I26" s="15">
        <v>1046.0</v>
      </c>
      <c r="J26" s="15">
        <f t="shared" si="3"/>
        <v>24</v>
      </c>
      <c r="K26" s="15">
        <v>-1545.0</v>
      </c>
      <c r="L26" s="15">
        <v>-1550.0</v>
      </c>
      <c r="M26" s="15">
        <f t="shared" si="4"/>
        <v>-5</v>
      </c>
    </row>
    <row r="27" ht="15.75" customHeight="1">
      <c r="A27" s="20" t="s">
        <v>78</v>
      </c>
      <c r="B27" s="21">
        <v>0.0</v>
      </c>
      <c r="C27" s="21">
        <v>0.0</v>
      </c>
      <c r="D27" s="21">
        <f t="shared" si="1"/>
        <v>0</v>
      </c>
      <c r="E27" s="21">
        <v>0.0</v>
      </c>
      <c r="F27" s="21">
        <v>0.0</v>
      </c>
      <c r="G27" s="21">
        <f t="shared" si="2"/>
        <v>0</v>
      </c>
      <c r="H27" s="21">
        <v>447.0</v>
      </c>
      <c r="I27" s="21">
        <v>597.0</v>
      </c>
      <c r="J27" s="21">
        <f t="shared" si="3"/>
        <v>150</v>
      </c>
      <c r="K27" s="21">
        <v>-447.0</v>
      </c>
      <c r="L27" s="21">
        <v>-597.0</v>
      </c>
      <c r="M27" s="21">
        <f t="shared" si="4"/>
        <v>-150</v>
      </c>
    </row>
    <row r="28" ht="15.75" customHeight="1">
      <c r="A28" s="22" t="s">
        <v>79</v>
      </c>
      <c r="B28" s="23">
        <v>0.0</v>
      </c>
      <c r="C28" s="23">
        <v>0.0</v>
      </c>
      <c r="D28" s="23">
        <f t="shared" si="1"/>
        <v>0</v>
      </c>
      <c r="E28" s="23">
        <v>0.0</v>
      </c>
      <c r="F28" s="23">
        <v>0.0</v>
      </c>
      <c r="G28" s="23">
        <f t="shared" si="2"/>
        <v>0</v>
      </c>
      <c r="H28" s="23">
        <v>93.0</v>
      </c>
      <c r="I28" s="23">
        <v>194.0</v>
      </c>
      <c r="J28" s="23">
        <f t="shared" si="3"/>
        <v>101</v>
      </c>
      <c r="K28" s="23">
        <v>-93.0</v>
      </c>
      <c r="L28" s="23">
        <v>-194.0</v>
      </c>
      <c r="M28" s="23">
        <f t="shared" si="4"/>
        <v>-101</v>
      </c>
    </row>
    <row r="29" ht="15.75" customHeight="1">
      <c r="A29" s="22" t="s">
        <v>80</v>
      </c>
      <c r="B29" s="23">
        <v>0.0</v>
      </c>
      <c r="C29" s="23">
        <v>0.0</v>
      </c>
      <c r="D29" s="23">
        <f t="shared" si="1"/>
        <v>0</v>
      </c>
      <c r="E29" s="23">
        <v>0.0</v>
      </c>
      <c r="F29" s="23">
        <v>0.0</v>
      </c>
      <c r="G29" s="23">
        <f t="shared" si="2"/>
        <v>0</v>
      </c>
      <c r="H29" s="23">
        <v>325.0</v>
      </c>
      <c r="I29" s="23">
        <v>267.0</v>
      </c>
      <c r="J29" s="23">
        <f t="shared" si="3"/>
        <v>-58</v>
      </c>
      <c r="K29" s="23">
        <v>-325.0</v>
      </c>
      <c r="L29" s="23">
        <v>-267.0</v>
      </c>
      <c r="M29" s="23">
        <f t="shared" si="4"/>
        <v>58</v>
      </c>
    </row>
    <row r="30" ht="15.75" customHeight="1">
      <c r="A30" s="20" t="s">
        <v>81</v>
      </c>
      <c r="B30" s="21">
        <v>0.0</v>
      </c>
      <c r="C30" s="21">
        <v>0.0</v>
      </c>
      <c r="D30" s="21">
        <f t="shared" si="1"/>
        <v>0</v>
      </c>
      <c r="E30" s="21">
        <v>0.0</v>
      </c>
      <c r="F30" s="21">
        <v>0.0</v>
      </c>
      <c r="G30" s="21">
        <f t="shared" si="2"/>
        <v>0</v>
      </c>
      <c r="H30" s="21">
        <v>29.0</v>
      </c>
      <c r="I30" s="21">
        <v>135.0</v>
      </c>
      <c r="J30" s="21">
        <f t="shared" si="3"/>
        <v>106</v>
      </c>
      <c r="K30" s="21">
        <v>-29.0</v>
      </c>
      <c r="L30" s="21">
        <v>-135.0</v>
      </c>
      <c r="M30" s="21">
        <f t="shared" si="4"/>
        <v>-106</v>
      </c>
    </row>
    <row r="31" ht="15.75" customHeight="1">
      <c r="A31" s="22" t="s">
        <v>83</v>
      </c>
      <c r="B31" s="23">
        <v>-629.0</v>
      </c>
      <c r="C31" s="23">
        <v>-629.0</v>
      </c>
      <c r="D31" s="23">
        <f t="shared" si="1"/>
        <v>0</v>
      </c>
      <c r="E31" s="23">
        <v>-524.0</v>
      </c>
      <c r="F31" s="23">
        <v>-503.0</v>
      </c>
      <c r="G31" s="23">
        <f t="shared" si="2"/>
        <v>21</v>
      </c>
      <c r="H31" s="23">
        <v>0.0</v>
      </c>
      <c r="I31" s="23">
        <v>17.0</v>
      </c>
      <c r="J31" s="23">
        <f t="shared" si="3"/>
        <v>17</v>
      </c>
      <c r="K31" s="23">
        <v>-524.0</v>
      </c>
      <c r="L31" s="23">
        <v>-519.0</v>
      </c>
      <c r="M31" s="23">
        <f t="shared" si="4"/>
        <v>5</v>
      </c>
    </row>
    <row r="32" ht="15.75" customHeight="1">
      <c r="A32" s="22" t="s">
        <v>84</v>
      </c>
      <c r="B32" s="23">
        <v>0.0</v>
      </c>
      <c r="C32" s="23">
        <v>0.0</v>
      </c>
      <c r="D32" s="23">
        <f t="shared" si="1"/>
        <v>0</v>
      </c>
      <c r="E32" s="23">
        <v>0.0</v>
      </c>
      <c r="F32" s="23">
        <v>-2.0</v>
      </c>
      <c r="G32" s="23">
        <f t="shared" si="2"/>
        <v>-2</v>
      </c>
      <c r="H32" s="23">
        <v>180.0</v>
      </c>
      <c r="I32" s="23">
        <v>161.0</v>
      </c>
      <c r="J32" s="23">
        <f t="shared" si="3"/>
        <v>-19</v>
      </c>
      <c r="K32" s="23">
        <v>-180.0</v>
      </c>
      <c r="L32" s="23">
        <v>-162.0</v>
      </c>
      <c r="M32" s="23">
        <f t="shared" si="4"/>
        <v>18</v>
      </c>
    </row>
    <row r="33" ht="15.75" customHeight="1">
      <c r="A33" s="22" t="s">
        <v>85</v>
      </c>
      <c r="B33" s="23">
        <v>0.0</v>
      </c>
      <c r="C33" s="23">
        <v>0.0</v>
      </c>
      <c r="D33" s="23">
        <f t="shared" si="1"/>
        <v>0</v>
      </c>
      <c r="E33" s="23">
        <v>0.0</v>
      </c>
      <c r="F33" s="23">
        <v>0.0</v>
      </c>
      <c r="G33" s="23">
        <f t="shared" si="2"/>
        <v>0</v>
      </c>
      <c r="H33" s="23">
        <v>202.0</v>
      </c>
      <c r="I33" s="23">
        <v>209.0</v>
      </c>
      <c r="J33" s="23">
        <f t="shared" si="3"/>
        <v>7</v>
      </c>
      <c r="K33" s="23">
        <v>-202.0</v>
      </c>
      <c r="L33" s="23">
        <v>-209.0</v>
      </c>
      <c r="M33" s="23">
        <f t="shared" si="4"/>
        <v>-7</v>
      </c>
    </row>
    <row r="34" ht="15.75" customHeight="1">
      <c r="A34" s="20" t="s">
        <v>86</v>
      </c>
      <c r="B34" s="21">
        <v>0.0</v>
      </c>
      <c r="C34" s="21">
        <v>0.0</v>
      </c>
      <c r="D34" s="21">
        <f t="shared" si="1"/>
        <v>0</v>
      </c>
      <c r="E34" s="21">
        <v>0.0</v>
      </c>
      <c r="F34" s="21">
        <v>0.0</v>
      </c>
      <c r="G34" s="21">
        <f t="shared" si="2"/>
        <v>0</v>
      </c>
      <c r="H34" s="21">
        <v>69.0</v>
      </c>
      <c r="I34" s="21">
        <v>-30.0</v>
      </c>
      <c r="J34" s="21">
        <f t="shared" si="3"/>
        <v>-99</v>
      </c>
      <c r="K34" s="21">
        <v>-69.0</v>
      </c>
      <c r="L34" s="21">
        <v>30.0</v>
      </c>
      <c r="M34" s="21">
        <f t="shared" si="4"/>
        <v>99</v>
      </c>
    </row>
    <row r="35" ht="15.75" customHeight="1">
      <c r="A35" s="20" t="s">
        <v>88</v>
      </c>
      <c r="B35" s="21">
        <v>0.0</v>
      </c>
      <c r="C35" s="21">
        <v>0.0</v>
      </c>
      <c r="D35" s="21">
        <f t="shared" si="1"/>
        <v>0</v>
      </c>
      <c r="E35" s="21">
        <v>0.0</v>
      </c>
      <c r="F35" s="21">
        <v>0.0</v>
      </c>
      <c r="G35" s="21">
        <f t="shared" si="2"/>
        <v>0</v>
      </c>
      <c r="H35" s="21">
        <v>-91.0</v>
      </c>
      <c r="I35" s="21">
        <v>-4.0</v>
      </c>
      <c r="J35" s="21">
        <f t="shared" si="3"/>
        <v>87</v>
      </c>
      <c r="K35" s="21">
        <v>91.0</v>
      </c>
      <c r="L35" s="21">
        <v>4.0</v>
      </c>
      <c r="M35" s="21">
        <f t="shared" si="4"/>
        <v>-87</v>
      </c>
    </row>
    <row r="36" ht="15.75" customHeight="1">
      <c r="A36" s="20" t="s">
        <v>89</v>
      </c>
      <c r="B36" s="21">
        <v>0.0</v>
      </c>
      <c r="C36" s="21">
        <v>0.0</v>
      </c>
      <c r="D36" s="21">
        <f t="shared" si="1"/>
        <v>0</v>
      </c>
      <c r="E36" s="21">
        <v>0.0</v>
      </c>
      <c r="F36" s="21">
        <v>0.0</v>
      </c>
      <c r="G36" s="21">
        <f t="shared" si="2"/>
        <v>0</v>
      </c>
      <c r="H36" s="21">
        <v>116.0</v>
      </c>
      <c r="I36" s="21">
        <v>97.0</v>
      </c>
      <c r="J36" s="21">
        <f t="shared" si="3"/>
        <v>-19</v>
      </c>
      <c r="K36" s="21">
        <v>-116.0</v>
      </c>
      <c r="L36" s="21">
        <v>-97.0</v>
      </c>
      <c r="M36" s="21">
        <f t="shared" si="4"/>
        <v>19</v>
      </c>
    </row>
    <row r="37" ht="15.75" customHeight="1">
      <c r="A37" s="20" t="s">
        <v>91</v>
      </c>
      <c r="B37" s="21">
        <v>0.0</v>
      </c>
      <c r="C37" s="21">
        <v>0.0</v>
      </c>
      <c r="D37" s="21">
        <f t="shared" si="1"/>
        <v>0</v>
      </c>
      <c r="E37" s="21">
        <v>0.0</v>
      </c>
      <c r="F37" s="21">
        <v>0.0</v>
      </c>
      <c r="G37" s="21">
        <f t="shared" si="2"/>
        <v>0</v>
      </c>
      <c r="H37" s="21">
        <v>99.0</v>
      </c>
      <c r="I37" s="21">
        <v>0.0</v>
      </c>
      <c r="J37" s="21">
        <f t="shared" si="3"/>
        <v>-99</v>
      </c>
      <c r="K37" s="21">
        <v>-99.0</v>
      </c>
      <c r="L37" s="21">
        <v>0.0</v>
      </c>
      <c r="M37" s="21">
        <f t="shared" si="4"/>
        <v>99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A5"/>
    <mergeCell ref="B4:D4"/>
    <mergeCell ref="E4:G4"/>
    <mergeCell ref="H4:J4"/>
    <mergeCell ref="K4:M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2.0"/>
    <col customWidth="1" min="2" max="29" width="10.57"/>
    <col customWidth="1" min="30" max="30" width="56.0"/>
  </cols>
  <sheetData>
    <row r="1">
      <c r="A1" s="1" t="s">
        <v>3</v>
      </c>
    </row>
    <row r="2">
      <c r="A2" s="3" t="s">
        <v>8</v>
      </c>
    </row>
    <row r="4">
      <c r="A4" s="5" t="s">
        <v>4</v>
      </c>
      <c r="B4" s="6" t="s">
        <v>7</v>
      </c>
      <c r="C4" s="7"/>
      <c r="D4" s="7"/>
      <c r="E4" s="7"/>
      <c r="F4" s="7"/>
      <c r="G4" s="7"/>
      <c r="H4" s="8"/>
      <c r="I4" s="6" t="s">
        <v>9</v>
      </c>
      <c r="J4" s="7"/>
      <c r="K4" s="7"/>
      <c r="L4" s="7"/>
      <c r="M4" s="7"/>
      <c r="N4" s="7"/>
      <c r="O4" s="7"/>
      <c r="P4" s="7"/>
      <c r="Q4" s="8"/>
      <c r="R4" s="6" t="s">
        <v>21</v>
      </c>
      <c r="S4" s="7"/>
      <c r="T4" s="7"/>
      <c r="U4" s="7"/>
      <c r="V4" s="8"/>
      <c r="W4" s="6" t="s">
        <v>24</v>
      </c>
      <c r="X4" s="7"/>
      <c r="Y4" s="7"/>
      <c r="Z4" s="7"/>
      <c r="AA4" s="7"/>
      <c r="AB4" s="7"/>
      <c r="AC4" s="8"/>
      <c r="AD4" s="5" t="s">
        <v>26</v>
      </c>
    </row>
    <row r="5" ht="27.75" customHeight="1">
      <c r="A5" s="9"/>
      <c r="B5" s="10" t="s">
        <v>30</v>
      </c>
      <c r="C5" s="10" t="s">
        <v>18</v>
      </c>
      <c r="D5" s="10" t="s">
        <v>19</v>
      </c>
      <c r="E5" s="16" t="s">
        <v>33</v>
      </c>
      <c r="F5" s="16" t="s">
        <v>37</v>
      </c>
      <c r="G5" s="10" t="s">
        <v>39</v>
      </c>
      <c r="H5" s="10" t="s">
        <v>40</v>
      </c>
      <c r="I5" s="11" t="s">
        <v>42</v>
      </c>
      <c r="J5" s="11" t="s">
        <v>18</v>
      </c>
      <c r="K5" s="11" t="s">
        <v>19</v>
      </c>
      <c r="L5" s="17" t="s">
        <v>44</v>
      </c>
      <c r="M5" s="17" t="s">
        <v>46</v>
      </c>
      <c r="N5" s="11" t="s">
        <v>39</v>
      </c>
      <c r="O5" s="11" t="s">
        <v>40</v>
      </c>
      <c r="P5" s="17" t="s">
        <v>47</v>
      </c>
      <c r="Q5" s="17" t="s">
        <v>48</v>
      </c>
      <c r="R5" s="12" t="s">
        <v>49</v>
      </c>
      <c r="S5" s="12" t="s">
        <v>18</v>
      </c>
      <c r="T5" s="12" t="s">
        <v>19</v>
      </c>
      <c r="U5" s="18" t="s">
        <v>50</v>
      </c>
      <c r="V5" s="12" t="s">
        <v>39</v>
      </c>
      <c r="W5" s="13" t="s">
        <v>52</v>
      </c>
      <c r="X5" s="13" t="s">
        <v>18</v>
      </c>
      <c r="Y5" s="13" t="s">
        <v>19</v>
      </c>
      <c r="Z5" s="19" t="s">
        <v>53</v>
      </c>
      <c r="AA5" s="19" t="s">
        <v>54</v>
      </c>
      <c r="AB5" s="13" t="s">
        <v>39</v>
      </c>
      <c r="AC5" s="13" t="s">
        <v>40</v>
      </c>
      <c r="AD5" s="9"/>
    </row>
    <row r="6">
      <c r="A6" s="14" t="s">
        <v>29</v>
      </c>
      <c r="B6" s="15">
        <v>8277.0</v>
      </c>
      <c r="C6" s="15">
        <v>8246.0</v>
      </c>
      <c r="D6" s="15">
        <f t="shared" ref="D6:D37" si="1">C6-B6</f>
        <v>-31</v>
      </c>
      <c r="E6" s="15">
        <v>8050.0</v>
      </c>
      <c r="F6" s="15">
        <f t="shared" ref="F6:F37" si="2">C6-E6</f>
        <v>196</v>
      </c>
      <c r="G6" s="15">
        <v>8739.0</v>
      </c>
      <c r="H6" s="15">
        <f t="shared" ref="H6:H10" si="3">C6-G6</f>
        <v>-493</v>
      </c>
      <c r="I6" s="15">
        <v>4867.0</v>
      </c>
      <c r="J6" s="15">
        <v>4585.0</v>
      </c>
      <c r="K6" s="15">
        <f t="shared" ref="K6:K37" si="4">J6-I6</f>
        <v>-282</v>
      </c>
      <c r="L6" s="15">
        <v>4712.0</v>
      </c>
      <c r="M6" s="15">
        <f t="shared" ref="M6:M37" si="5">J6-L6</f>
        <v>-127</v>
      </c>
      <c r="N6" s="15">
        <v>4722.0</v>
      </c>
      <c r="O6" s="15">
        <f t="shared" ref="O6:O10" si="6">J6-N6</f>
        <v>-137</v>
      </c>
      <c r="P6" s="15">
        <v>4819.0</v>
      </c>
      <c r="Q6" s="15">
        <f t="shared" ref="Q6:Q17" si="7">J6-P6</f>
        <v>-234</v>
      </c>
      <c r="R6" s="15">
        <v>2500.0</v>
      </c>
      <c r="S6" s="15">
        <v>2603.0</v>
      </c>
      <c r="T6" s="15">
        <f t="shared" ref="T6:T37" si="8">S6-R6</f>
        <v>103</v>
      </c>
      <c r="U6" s="15">
        <v>2512.0</v>
      </c>
      <c r="V6" s="15">
        <v>4157.0</v>
      </c>
      <c r="W6" s="15">
        <v>2367.0</v>
      </c>
      <c r="X6" s="15">
        <v>1981.0</v>
      </c>
      <c r="Y6" s="15">
        <f t="shared" ref="Y6:Y37" si="9">X6-W6</f>
        <v>-386</v>
      </c>
      <c r="Z6" s="15">
        <v>2200.0</v>
      </c>
      <c r="AA6" s="15">
        <f t="shared" ref="AA6:AA37" si="10">X6-Z6</f>
        <v>-219</v>
      </c>
      <c r="AB6" s="15">
        <v>565.0</v>
      </c>
      <c r="AC6" s="15">
        <f t="shared" ref="AC6:AC10" si="11">X6-AB6</f>
        <v>1416</v>
      </c>
      <c r="AD6" s="24" t="s">
        <v>63</v>
      </c>
    </row>
    <row r="7">
      <c r="A7" s="14" t="s">
        <v>51</v>
      </c>
      <c r="B7" s="15">
        <v>6829.0</v>
      </c>
      <c r="C7" s="15">
        <v>6823.0</v>
      </c>
      <c r="D7" s="15">
        <f t="shared" si="1"/>
        <v>-6</v>
      </c>
      <c r="E7" s="15">
        <v>6602.0</v>
      </c>
      <c r="F7" s="15">
        <f t="shared" si="2"/>
        <v>221</v>
      </c>
      <c r="G7" s="15">
        <v>7045.0</v>
      </c>
      <c r="H7" s="15">
        <f t="shared" si="3"/>
        <v>-222</v>
      </c>
      <c r="I7" s="15">
        <v>5157.0</v>
      </c>
      <c r="J7" s="15">
        <v>4856.0</v>
      </c>
      <c r="K7" s="15">
        <f t="shared" si="4"/>
        <v>-301</v>
      </c>
      <c r="L7" s="15">
        <v>4986.0</v>
      </c>
      <c r="M7" s="15">
        <f t="shared" si="5"/>
        <v>-130</v>
      </c>
      <c r="N7" s="15">
        <v>4937.0</v>
      </c>
      <c r="O7" s="15">
        <f t="shared" si="6"/>
        <v>-81</v>
      </c>
      <c r="P7" s="15">
        <v>5175.0</v>
      </c>
      <c r="Q7" s="15">
        <f t="shared" si="7"/>
        <v>-319</v>
      </c>
      <c r="R7" s="15">
        <v>945.0</v>
      </c>
      <c r="S7" s="15">
        <v>1018.0</v>
      </c>
      <c r="T7" s="15">
        <f t="shared" si="8"/>
        <v>73</v>
      </c>
      <c r="U7" s="15">
        <v>944.0</v>
      </c>
      <c r="V7" s="15">
        <v>1755.0</v>
      </c>
      <c r="W7" s="15">
        <v>4212.0</v>
      </c>
      <c r="X7" s="15">
        <v>3838.0</v>
      </c>
      <c r="Y7" s="15">
        <f t="shared" si="9"/>
        <v>-374</v>
      </c>
      <c r="Z7" s="15">
        <v>4042.0</v>
      </c>
      <c r="AA7" s="15">
        <f t="shared" si="10"/>
        <v>-204</v>
      </c>
      <c r="AB7" s="15">
        <v>3182.0</v>
      </c>
      <c r="AC7" s="15">
        <f t="shared" si="11"/>
        <v>656</v>
      </c>
      <c r="AD7" s="24"/>
    </row>
    <row r="8">
      <c r="A8" s="20" t="s">
        <v>55</v>
      </c>
      <c r="B8" s="21">
        <v>3985.0</v>
      </c>
      <c r="C8" s="21">
        <v>3828.0</v>
      </c>
      <c r="D8" s="21">
        <f t="shared" si="1"/>
        <v>-157</v>
      </c>
      <c r="E8" s="21">
        <v>3852.0</v>
      </c>
      <c r="F8" s="21">
        <f t="shared" si="2"/>
        <v>-24</v>
      </c>
      <c r="G8" s="21">
        <v>4334.0</v>
      </c>
      <c r="H8" s="21">
        <f t="shared" si="3"/>
        <v>-506</v>
      </c>
      <c r="I8" s="21">
        <v>3506.0</v>
      </c>
      <c r="J8" s="21">
        <v>3289.0</v>
      </c>
      <c r="K8" s="21">
        <f t="shared" si="4"/>
        <v>-217</v>
      </c>
      <c r="L8" s="21">
        <v>3389.0</v>
      </c>
      <c r="M8" s="21">
        <f t="shared" si="5"/>
        <v>-100</v>
      </c>
      <c r="N8" s="21">
        <v>3790.0</v>
      </c>
      <c r="O8" s="21">
        <f t="shared" si="6"/>
        <v>-501</v>
      </c>
      <c r="P8" s="21">
        <v>3320.0</v>
      </c>
      <c r="Q8" s="21">
        <f t="shared" si="7"/>
        <v>-31</v>
      </c>
      <c r="R8" s="21">
        <v>425.0</v>
      </c>
      <c r="S8" s="21">
        <v>429.0</v>
      </c>
      <c r="T8" s="21">
        <f t="shared" si="8"/>
        <v>4</v>
      </c>
      <c r="U8" s="21">
        <v>425.0</v>
      </c>
      <c r="V8" s="21">
        <v>469.0</v>
      </c>
      <c r="W8" s="21">
        <v>3080.0</v>
      </c>
      <c r="X8" s="21">
        <v>2860.0</v>
      </c>
      <c r="Y8" s="21">
        <f t="shared" si="9"/>
        <v>-220</v>
      </c>
      <c r="Z8" s="21">
        <v>2965.0</v>
      </c>
      <c r="AA8" s="21">
        <f t="shared" si="10"/>
        <v>-105</v>
      </c>
      <c r="AB8" s="21">
        <v>3321.0</v>
      </c>
      <c r="AC8" s="21">
        <f t="shared" si="11"/>
        <v>-461</v>
      </c>
      <c r="AD8" s="25" t="s">
        <v>69</v>
      </c>
    </row>
    <row r="9">
      <c r="A9" s="22" t="s">
        <v>71</v>
      </c>
      <c r="B9" s="23">
        <v>342.0</v>
      </c>
      <c r="C9" s="23">
        <v>302.0</v>
      </c>
      <c r="D9" s="23">
        <f t="shared" si="1"/>
        <v>-40</v>
      </c>
      <c r="E9" s="23">
        <v>210.0</v>
      </c>
      <c r="F9" s="23">
        <f t="shared" si="2"/>
        <v>92</v>
      </c>
      <c r="G9" s="23">
        <v>641.0</v>
      </c>
      <c r="H9" s="23">
        <f t="shared" si="3"/>
        <v>-339</v>
      </c>
      <c r="I9" s="23">
        <v>342.0</v>
      </c>
      <c r="J9" s="23">
        <v>283.0</v>
      </c>
      <c r="K9" s="23">
        <f t="shared" si="4"/>
        <v>-59</v>
      </c>
      <c r="L9" s="23">
        <v>226.0</v>
      </c>
      <c r="M9" s="23">
        <f t="shared" si="5"/>
        <v>57</v>
      </c>
      <c r="N9" s="23">
        <v>579.0</v>
      </c>
      <c r="O9" s="23">
        <f t="shared" si="6"/>
        <v>-296</v>
      </c>
      <c r="P9" s="23">
        <v>308.0</v>
      </c>
      <c r="Q9" s="23">
        <f t="shared" si="7"/>
        <v>-25</v>
      </c>
      <c r="R9" s="23">
        <v>73.0</v>
      </c>
      <c r="S9" s="23">
        <v>75.0</v>
      </c>
      <c r="T9" s="23">
        <f t="shared" si="8"/>
        <v>2</v>
      </c>
      <c r="U9" s="23">
        <v>73.0</v>
      </c>
      <c r="V9" s="23">
        <v>136.0</v>
      </c>
      <c r="W9" s="23">
        <v>269.0</v>
      </c>
      <c r="X9" s="23">
        <v>207.0</v>
      </c>
      <c r="Y9" s="23">
        <f t="shared" si="9"/>
        <v>-62</v>
      </c>
      <c r="Z9" s="23">
        <v>152.0</v>
      </c>
      <c r="AA9" s="23">
        <f t="shared" si="10"/>
        <v>55</v>
      </c>
      <c r="AB9" s="23">
        <v>443.0</v>
      </c>
      <c r="AC9" s="23">
        <f t="shared" si="11"/>
        <v>-236</v>
      </c>
      <c r="AD9" s="26" t="s">
        <v>75</v>
      </c>
    </row>
    <row r="10">
      <c r="A10" s="22" t="s">
        <v>57</v>
      </c>
      <c r="B10" s="23">
        <v>911.0</v>
      </c>
      <c r="C10" s="23">
        <v>904.0</v>
      </c>
      <c r="D10" s="23">
        <f t="shared" si="1"/>
        <v>-7</v>
      </c>
      <c r="E10" s="23">
        <v>911.0</v>
      </c>
      <c r="F10" s="23">
        <f t="shared" si="2"/>
        <v>-7</v>
      </c>
      <c r="G10" s="23">
        <v>815.0</v>
      </c>
      <c r="H10" s="23">
        <f t="shared" si="3"/>
        <v>89</v>
      </c>
      <c r="I10" s="23">
        <v>553.0</v>
      </c>
      <c r="J10" s="23">
        <v>549.0</v>
      </c>
      <c r="K10" s="23">
        <f t="shared" si="4"/>
        <v>-4</v>
      </c>
      <c r="L10" s="23">
        <v>553.0</v>
      </c>
      <c r="M10" s="23">
        <f t="shared" si="5"/>
        <v>-4</v>
      </c>
      <c r="N10" s="23">
        <v>414.0</v>
      </c>
      <c r="O10" s="23">
        <f t="shared" si="6"/>
        <v>135</v>
      </c>
      <c r="P10" s="23">
        <v>554.0</v>
      </c>
      <c r="Q10" s="23">
        <f t="shared" si="7"/>
        <v>-5</v>
      </c>
      <c r="R10" s="23">
        <v>57.0</v>
      </c>
      <c r="S10" s="23">
        <v>90.0</v>
      </c>
      <c r="T10" s="23">
        <f t="shared" si="8"/>
        <v>33</v>
      </c>
      <c r="U10" s="23">
        <v>57.0</v>
      </c>
      <c r="V10" s="23">
        <v>92.0</v>
      </c>
      <c r="W10" s="23">
        <v>495.0</v>
      </c>
      <c r="X10" s="23">
        <v>459.0</v>
      </c>
      <c r="Y10" s="23">
        <f t="shared" si="9"/>
        <v>-36</v>
      </c>
      <c r="Z10" s="23">
        <v>495.0</v>
      </c>
      <c r="AA10" s="23">
        <f t="shared" si="10"/>
        <v>-36</v>
      </c>
      <c r="AB10" s="23">
        <v>323.0</v>
      </c>
      <c r="AC10" s="23">
        <f t="shared" si="11"/>
        <v>136</v>
      </c>
      <c r="AD10" s="26"/>
    </row>
    <row r="11">
      <c r="A11" s="22" t="s">
        <v>58</v>
      </c>
      <c r="B11" s="23">
        <v>52.0</v>
      </c>
      <c r="C11" s="23">
        <v>-57.0</v>
      </c>
      <c r="D11" s="23">
        <f t="shared" si="1"/>
        <v>-109</v>
      </c>
      <c r="E11" s="23">
        <v>52.0</v>
      </c>
      <c r="F11" s="23">
        <f t="shared" si="2"/>
        <v>-109</v>
      </c>
      <c r="G11" s="23"/>
      <c r="H11" s="23"/>
      <c r="I11" s="23">
        <v>49.0</v>
      </c>
      <c r="J11" s="23">
        <v>26.0</v>
      </c>
      <c r="K11" s="23">
        <f t="shared" si="4"/>
        <v>-23</v>
      </c>
      <c r="L11" s="23">
        <v>49.0</v>
      </c>
      <c r="M11" s="23">
        <f t="shared" si="5"/>
        <v>-23</v>
      </c>
      <c r="N11" s="23"/>
      <c r="O11" s="23"/>
      <c r="P11" s="23">
        <v>9.0</v>
      </c>
      <c r="Q11" s="23">
        <f t="shared" si="7"/>
        <v>17</v>
      </c>
      <c r="R11" s="23">
        <v>1.0</v>
      </c>
      <c r="S11" s="23">
        <v>68.0</v>
      </c>
      <c r="T11" s="23">
        <f t="shared" si="8"/>
        <v>67</v>
      </c>
      <c r="U11" s="23">
        <v>0.0</v>
      </c>
      <c r="V11" s="23"/>
      <c r="W11" s="23">
        <v>49.0</v>
      </c>
      <c r="X11" s="23">
        <v>-41.0</v>
      </c>
      <c r="Y11" s="23">
        <f t="shared" si="9"/>
        <v>-90</v>
      </c>
      <c r="Z11" s="23">
        <v>49.0</v>
      </c>
      <c r="AA11" s="23">
        <f t="shared" si="10"/>
        <v>-90</v>
      </c>
      <c r="AB11" s="23"/>
      <c r="AC11" s="23"/>
      <c r="AD11" s="26" t="s">
        <v>82</v>
      </c>
    </row>
    <row r="12">
      <c r="A12" s="22" t="s">
        <v>59</v>
      </c>
      <c r="B12" s="23">
        <v>2680.0</v>
      </c>
      <c r="C12" s="23">
        <v>2680.0</v>
      </c>
      <c r="D12" s="23">
        <f t="shared" si="1"/>
        <v>0</v>
      </c>
      <c r="E12" s="23">
        <v>2680.0</v>
      </c>
      <c r="F12" s="23">
        <f t="shared" si="2"/>
        <v>0</v>
      </c>
      <c r="G12" s="23">
        <v>2878.0</v>
      </c>
      <c r="H12" s="23">
        <f t="shared" ref="H12:H14" si="12">C12-G12</f>
        <v>-198</v>
      </c>
      <c r="I12" s="23">
        <v>2562.0</v>
      </c>
      <c r="J12" s="23">
        <v>2431.0</v>
      </c>
      <c r="K12" s="23">
        <f t="shared" si="4"/>
        <v>-131</v>
      </c>
      <c r="L12" s="23">
        <v>2562.0</v>
      </c>
      <c r="M12" s="23">
        <f t="shared" si="5"/>
        <v>-131</v>
      </c>
      <c r="N12" s="23">
        <v>2796.0</v>
      </c>
      <c r="O12" s="23">
        <f t="shared" ref="O12:O14" si="13">J12-N12</f>
        <v>-365</v>
      </c>
      <c r="P12" s="23">
        <v>2448.0</v>
      </c>
      <c r="Q12" s="23">
        <f t="shared" si="7"/>
        <v>-17</v>
      </c>
      <c r="R12" s="23">
        <v>294.0</v>
      </c>
      <c r="S12" s="23">
        <v>196.0</v>
      </c>
      <c r="T12" s="23">
        <f t="shared" si="8"/>
        <v>-98</v>
      </c>
      <c r="U12" s="23">
        <v>294.0</v>
      </c>
      <c r="V12" s="23">
        <v>242.0</v>
      </c>
      <c r="W12" s="23">
        <v>2268.0</v>
      </c>
      <c r="X12" s="23">
        <v>2235.0</v>
      </c>
      <c r="Y12" s="23">
        <f t="shared" si="9"/>
        <v>-33</v>
      </c>
      <c r="Z12" s="23">
        <v>2268.0</v>
      </c>
      <c r="AA12" s="23">
        <f t="shared" si="10"/>
        <v>-33</v>
      </c>
      <c r="AB12" s="23">
        <v>2555.0</v>
      </c>
      <c r="AC12" s="23">
        <f t="shared" ref="AC12:AC14" si="14">X12-AB12</f>
        <v>-320</v>
      </c>
      <c r="AD12" s="26" t="s">
        <v>87</v>
      </c>
    </row>
    <row r="13">
      <c r="A13" s="22" t="s">
        <v>60</v>
      </c>
      <c r="B13" s="23">
        <v>1035.0</v>
      </c>
      <c r="C13" s="23">
        <v>1084.0</v>
      </c>
      <c r="D13" s="23">
        <f t="shared" si="1"/>
        <v>49</v>
      </c>
      <c r="E13" s="23">
        <v>1001.0</v>
      </c>
      <c r="F13" s="23">
        <f t="shared" si="2"/>
        <v>83</v>
      </c>
      <c r="G13" s="23">
        <v>1079.0</v>
      </c>
      <c r="H13" s="23">
        <f t="shared" si="12"/>
        <v>5</v>
      </c>
      <c r="I13" s="23">
        <v>919.0</v>
      </c>
      <c r="J13" s="23">
        <v>998.0</v>
      </c>
      <c r="K13" s="23">
        <f t="shared" si="4"/>
        <v>79</v>
      </c>
      <c r="L13" s="23">
        <v>888.0</v>
      </c>
      <c r="M13" s="23">
        <f t="shared" si="5"/>
        <v>110</v>
      </c>
      <c r="N13" s="23">
        <v>1016.0</v>
      </c>
      <c r="O13" s="23">
        <f t="shared" si="13"/>
        <v>-18</v>
      </c>
      <c r="P13" s="23">
        <v>1081.0</v>
      </c>
      <c r="Q13" s="23">
        <f t="shared" si="7"/>
        <v>-83</v>
      </c>
      <c r="R13" s="23">
        <v>129.0</v>
      </c>
      <c r="S13" s="23">
        <v>186.0</v>
      </c>
      <c r="T13" s="23">
        <f t="shared" si="8"/>
        <v>57</v>
      </c>
      <c r="U13" s="23">
        <v>129.0</v>
      </c>
      <c r="V13" s="23">
        <v>273.0</v>
      </c>
      <c r="W13" s="23">
        <v>790.0</v>
      </c>
      <c r="X13" s="23">
        <v>813.0</v>
      </c>
      <c r="Y13" s="23">
        <f t="shared" si="9"/>
        <v>23</v>
      </c>
      <c r="Z13" s="23">
        <v>759.0</v>
      </c>
      <c r="AA13" s="23">
        <f t="shared" si="10"/>
        <v>54</v>
      </c>
      <c r="AB13" s="23">
        <v>743.0</v>
      </c>
      <c r="AC13" s="23">
        <f t="shared" si="14"/>
        <v>70</v>
      </c>
      <c r="AD13" s="26" t="s">
        <v>90</v>
      </c>
    </row>
    <row r="14">
      <c r="A14" s="22" t="s">
        <v>61</v>
      </c>
      <c r="B14" s="23">
        <v>847.0</v>
      </c>
      <c r="C14" s="23">
        <v>842.0</v>
      </c>
      <c r="D14" s="23">
        <f t="shared" si="1"/>
        <v>-5</v>
      </c>
      <c r="E14" s="23">
        <v>813.0</v>
      </c>
      <c r="F14" s="23">
        <f t="shared" si="2"/>
        <v>29</v>
      </c>
      <c r="G14" s="23">
        <v>1079.0</v>
      </c>
      <c r="H14" s="23">
        <f t="shared" si="12"/>
        <v>-237</v>
      </c>
      <c r="I14" s="23">
        <v>780.0</v>
      </c>
      <c r="J14" s="23">
        <v>798.0</v>
      </c>
      <c r="K14" s="23">
        <f t="shared" si="4"/>
        <v>18</v>
      </c>
      <c r="L14" s="23">
        <v>749.0</v>
      </c>
      <c r="M14" s="23">
        <f t="shared" si="5"/>
        <v>49</v>
      </c>
      <c r="N14" s="23">
        <v>1016.0</v>
      </c>
      <c r="O14" s="23">
        <f t="shared" si="13"/>
        <v>-218</v>
      </c>
      <c r="P14" s="23">
        <v>854.0</v>
      </c>
      <c r="Q14" s="23">
        <f t="shared" si="7"/>
        <v>-56</v>
      </c>
      <c r="R14" s="23">
        <v>63.0</v>
      </c>
      <c r="S14" s="23">
        <v>92.0</v>
      </c>
      <c r="T14" s="23">
        <f t="shared" si="8"/>
        <v>29</v>
      </c>
      <c r="U14" s="23">
        <v>63.0</v>
      </c>
      <c r="V14" s="23">
        <v>273.0</v>
      </c>
      <c r="W14" s="23">
        <v>717.0</v>
      </c>
      <c r="X14" s="23">
        <v>706.0</v>
      </c>
      <c r="Y14" s="23">
        <f t="shared" si="9"/>
        <v>-11</v>
      </c>
      <c r="Z14" s="23">
        <v>687.0</v>
      </c>
      <c r="AA14" s="23">
        <f t="shared" si="10"/>
        <v>19</v>
      </c>
      <c r="AB14" s="23">
        <v>743.0</v>
      </c>
      <c r="AC14" s="23">
        <f t="shared" si="14"/>
        <v>-37</v>
      </c>
      <c r="AD14" s="26"/>
    </row>
    <row r="15">
      <c r="A15" s="22" t="s">
        <v>62</v>
      </c>
      <c r="B15" s="23">
        <v>188.0</v>
      </c>
      <c r="C15" s="23">
        <v>242.0</v>
      </c>
      <c r="D15" s="23">
        <f t="shared" si="1"/>
        <v>54</v>
      </c>
      <c r="E15" s="23">
        <v>188.0</v>
      </c>
      <c r="F15" s="23">
        <f t="shared" si="2"/>
        <v>54</v>
      </c>
      <c r="G15" s="23"/>
      <c r="H15" s="23"/>
      <c r="I15" s="23">
        <v>139.0</v>
      </c>
      <c r="J15" s="23">
        <v>200.0</v>
      </c>
      <c r="K15" s="23">
        <f t="shared" si="4"/>
        <v>61</v>
      </c>
      <c r="L15" s="23">
        <v>139.0</v>
      </c>
      <c r="M15" s="23">
        <f t="shared" si="5"/>
        <v>61</v>
      </c>
      <c r="N15" s="23"/>
      <c r="O15" s="23"/>
      <c r="P15" s="23">
        <v>227.0</v>
      </c>
      <c r="Q15" s="23">
        <f t="shared" si="7"/>
        <v>-27</v>
      </c>
      <c r="R15" s="23">
        <v>66.0</v>
      </c>
      <c r="S15" s="23">
        <v>94.0</v>
      </c>
      <c r="T15" s="23">
        <f t="shared" si="8"/>
        <v>28</v>
      </c>
      <c r="U15" s="23">
        <v>66.0</v>
      </c>
      <c r="V15" s="23"/>
      <c r="W15" s="23">
        <v>73.0</v>
      </c>
      <c r="X15" s="23">
        <v>106.0</v>
      </c>
      <c r="Y15" s="23">
        <f t="shared" si="9"/>
        <v>33</v>
      </c>
      <c r="Z15" s="23">
        <v>73.0</v>
      </c>
      <c r="AA15" s="23">
        <f t="shared" si="10"/>
        <v>33</v>
      </c>
      <c r="AB15" s="23"/>
      <c r="AC15" s="23"/>
      <c r="AD15" s="27" t="s">
        <v>92</v>
      </c>
    </row>
    <row r="16">
      <c r="A16" s="22" t="s">
        <v>64</v>
      </c>
      <c r="B16" s="23">
        <v>543.0</v>
      </c>
      <c r="C16" s="23">
        <v>591.0</v>
      </c>
      <c r="D16" s="23">
        <f t="shared" si="1"/>
        <v>48</v>
      </c>
      <c r="E16" s="23">
        <v>525.0</v>
      </c>
      <c r="F16" s="23">
        <f t="shared" si="2"/>
        <v>66</v>
      </c>
      <c r="G16" s="23">
        <v>537.0</v>
      </c>
      <c r="H16" s="23">
        <f t="shared" ref="H16:H17" si="15">C16-G16</f>
        <v>54</v>
      </c>
      <c r="I16" s="23">
        <v>283.0</v>
      </c>
      <c r="J16" s="23">
        <v>304.0</v>
      </c>
      <c r="K16" s="23">
        <f t="shared" si="4"/>
        <v>21</v>
      </c>
      <c r="L16" s="23">
        <v>274.0</v>
      </c>
      <c r="M16" s="23">
        <f t="shared" si="5"/>
        <v>30</v>
      </c>
      <c r="N16" s="23">
        <v>276.0</v>
      </c>
      <c r="O16" s="23">
        <f t="shared" ref="O16:O17" si="16">J16-N16</f>
        <v>28</v>
      </c>
      <c r="P16" s="23">
        <v>284.0</v>
      </c>
      <c r="Q16" s="23">
        <f t="shared" si="7"/>
        <v>20</v>
      </c>
      <c r="R16" s="23">
        <v>139.0</v>
      </c>
      <c r="S16" s="23">
        <v>145.0</v>
      </c>
      <c r="T16" s="23">
        <f t="shared" si="8"/>
        <v>6</v>
      </c>
      <c r="U16" s="23">
        <v>139.0</v>
      </c>
      <c r="V16" s="23">
        <v>203.0</v>
      </c>
      <c r="W16" s="23">
        <v>144.0</v>
      </c>
      <c r="X16" s="23">
        <v>159.0</v>
      </c>
      <c r="Y16" s="23">
        <f t="shared" si="9"/>
        <v>15</v>
      </c>
      <c r="Z16" s="23">
        <v>134.0</v>
      </c>
      <c r="AA16" s="23">
        <f t="shared" si="10"/>
        <v>25</v>
      </c>
      <c r="AB16" s="23">
        <v>74.0</v>
      </c>
      <c r="AC16" s="23">
        <f t="shared" ref="AC16:AC17" si="17">X16-AB16</f>
        <v>85</v>
      </c>
      <c r="AD16" s="26" t="s">
        <v>93</v>
      </c>
    </row>
    <row r="17">
      <c r="A17" s="22" t="s">
        <v>65</v>
      </c>
      <c r="B17" s="23">
        <v>1266.0</v>
      </c>
      <c r="C17" s="23">
        <v>1320.0</v>
      </c>
      <c r="D17" s="23">
        <f t="shared" si="1"/>
        <v>54</v>
      </c>
      <c r="E17" s="23">
        <v>1224.0</v>
      </c>
      <c r="F17" s="23">
        <f t="shared" si="2"/>
        <v>96</v>
      </c>
      <c r="G17" s="23">
        <v>1645.0</v>
      </c>
      <c r="H17" s="23">
        <f t="shared" si="15"/>
        <v>-325</v>
      </c>
      <c r="I17" s="23">
        <v>450.0</v>
      </c>
      <c r="J17" s="23">
        <v>265.0</v>
      </c>
      <c r="K17" s="23">
        <f t="shared" si="4"/>
        <v>-185</v>
      </c>
      <c r="L17" s="23">
        <v>435.0</v>
      </c>
      <c r="M17" s="23">
        <f t="shared" si="5"/>
        <v>-170</v>
      </c>
      <c r="N17" s="23">
        <v>532.0</v>
      </c>
      <c r="O17" s="23">
        <f t="shared" si="16"/>
        <v>-267</v>
      </c>
      <c r="P17" s="23">
        <v>490.0</v>
      </c>
      <c r="Q17" s="23">
        <f t="shared" si="7"/>
        <v>-225</v>
      </c>
      <c r="R17" s="23">
        <v>170.0</v>
      </c>
      <c r="S17" s="23">
        <v>168.0</v>
      </c>
      <c r="T17" s="23">
        <f t="shared" si="8"/>
        <v>-2</v>
      </c>
      <c r="U17" s="23">
        <v>170.0</v>
      </c>
      <c r="V17" s="23">
        <v>410.0</v>
      </c>
      <c r="W17" s="23">
        <v>280.0</v>
      </c>
      <c r="X17" s="23">
        <v>97.0</v>
      </c>
      <c r="Y17" s="23">
        <f t="shared" si="9"/>
        <v>-183</v>
      </c>
      <c r="Z17" s="23">
        <v>265.0</v>
      </c>
      <c r="AA17" s="23">
        <f t="shared" si="10"/>
        <v>-168</v>
      </c>
      <c r="AB17" s="23">
        <v>122.0</v>
      </c>
      <c r="AC17" s="23">
        <f t="shared" si="17"/>
        <v>-25</v>
      </c>
      <c r="AD17" s="26" t="s">
        <v>94</v>
      </c>
    </row>
    <row r="18">
      <c r="A18" s="22" t="s">
        <v>66</v>
      </c>
      <c r="B18" s="23">
        <v>0.0</v>
      </c>
      <c r="C18" s="23">
        <v>0.0</v>
      </c>
      <c r="D18" s="23">
        <f t="shared" si="1"/>
        <v>0</v>
      </c>
      <c r="E18" s="23">
        <v>0.0</v>
      </c>
      <c r="F18" s="23">
        <f t="shared" si="2"/>
        <v>0</v>
      </c>
      <c r="G18" s="23"/>
      <c r="H18" s="23"/>
      <c r="I18" s="23">
        <v>0.0</v>
      </c>
      <c r="J18" s="23">
        <v>0.0</v>
      </c>
      <c r="K18" s="23">
        <f t="shared" si="4"/>
        <v>0</v>
      </c>
      <c r="L18" s="23">
        <v>0.0</v>
      </c>
      <c r="M18" s="23">
        <f t="shared" si="5"/>
        <v>0</v>
      </c>
      <c r="N18" s="23"/>
      <c r="O18" s="23"/>
      <c r="P18" s="23"/>
      <c r="Q18" s="23"/>
      <c r="R18" s="23">
        <v>82.0</v>
      </c>
      <c r="S18" s="23">
        <v>91.0</v>
      </c>
      <c r="T18" s="23">
        <f t="shared" si="8"/>
        <v>9</v>
      </c>
      <c r="U18" s="23">
        <v>82.0</v>
      </c>
      <c r="V18" s="23"/>
      <c r="W18" s="23">
        <v>-82.0</v>
      </c>
      <c r="X18" s="23">
        <v>-91.0</v>
      </c>
      <c r="Y18" s="23">
        <f t="shared" si="9"/>
        <v>-9</v>
      </c>
      <c r="Z18" s="23">
        <v>-82.0</v>
      </c>
      <c r="AA18" s="23">
        <f t="shared" si="10"/>
        <v>-9</v>
      </c>
      <c r="AB18" s="23"/>
      <c r="AC18" s="23"/>
      <c r="AD18" s="26" t="s">
        <v>95</v>
      </c>
    </row>
    <row r="19">
      <c r="A19" s="14" t="s">
        <v>67</v>
      </c>
      <c r="B19" s="15">
        <v>884.0</v>
      </c>
      <c r="C19" s="15">
        <v>858.0</v>
      </c>
      <c r="D19" s="15">
        <f t="shared" si="1"/>
        <v>-26</v>
      </c>
      <c r="E19" s="15">
        <v>883.0</v>
      </c>
      <c r="F19" s="15">
        <f t="shared" si="2"/>
        <v>-25</v>
      </c>
      <c r="G19" s="15">
        <v>724.0</v>
      </c>
      <c r="H19" s="15">
        <f>C19-G19</f>
        <v>134</v>
      </c>
      <c r="I19" s="15">
        <v>359.0</v>
      </c>
      <c r="J19" s="15">
        <v>355.0</v>
      </c>
      <c r="K19" s="15">
        <f t="shared" si="4"/>
        <v>-4</v>
      </c>
      <c r="L19" s="15">
        <v>376.0</v>
      </c>
      <c r="M19" s="15">
        <f t="shared" si="5"/>
        <v>-21</v>
      </c>
      <c r="N19" s="15">
        <v>178.0</v>
      </c>
      <c r="O19" s="15">
        <f>J19-N19</f>
        <v>177</v>
      </c>
      <c r="P19" s="15">
        <v>355.0</v>
      </c>
      <c r="Q19" s="15">
        <f>J19-P19</f>
        <v>0</v>
      </c>
      <c r="R19" s="15">
        <v>256.0</v>
      </c>
      <c r="S19" s="15">
        <v>281.0</v>
      </c>
      <c r="T19" s="15">
        <f t="shared" si="8"/>
        <v>25</v>
      </c>
      <c r="U19" s="15">
        <v>243.0</v>
      </c>
      <c r="V19" s="15">
        <v>524.0</v>
      </c>
      <c r="W19" s="15">
        <v>103.0</v>
      </c>
      <c r="X19" s="15">
        <v>74.0</v>
      </c>
      <c r="Y19" s="15">
        <f t="shared" si="9"/>
        <v>-29</v>
      </c>
      <c r="Z19" s="15">
        <v>133.0</v>
      </c>
      <c r="AA19" s="15">
        <f t="shared" si="10"/>
        <v>-59</v>
      </c>
      <c r="AB19" s="15">
        <v>-346.0</v>
      </c>
      <c r="AC19" s="15">
        <f>X19-AB19</f>
        <v>420</v>
      </c>
      <c r="AD19" s="24"/>
    </row>
    <row r="20">
      <c r="A20" s="22" t="s">
        <v>68</v>
      </c>
      <c r="B20" s="23">
        <v>0.0</v>
      </c>
      <c r="C20" s="23">
        <v>0.0</v>
      </c>
      <c r="D20" s="23">
        <f t="shared" si="1"/>
        <v>0</v>
      </c>
      <c r="E20" s="23">
        <v>0.0</v>
      </c>
      <c r="F20" s="23">
        <f t="shared" si="2"/>
        <v>0</v>
      </c>
      <c r="G20" s="23"/>
      <c r="H20" s="23"/>
      <c r="I20" s="23">
        <v>0.0</v>
      </c>
      <c r="J20" s="23">
        <v>0.0</v>
      </c>
      <c r="K20" s="23">
        <f t="shared" si="4"/>
        <v>0</v>
      </c>
      <c r="L20" s="23">
        <v>0.0</v>
      </c>
      <c r="M20" s="23">
        <f t="shared" si="5"/>
        <v>0</v>
      </c>
      <c r="N20" s="23"/>
      <c r="O20" s="23"/>
      <c r="P20" s="23"/>
      <c r="Q20" s="23"/>
      <c r="R20" s="23">
        <v>47.0</v>
      </c>
      <c r="S20" s="23">
        <v>49.0</v>
      </c>
      <c r="T20" s="23">
        <f t="shared" si="8"/>
        <v>2</v>
      </c>
      <c r="U20" s="23">
        <v>47.0</v>
      </c>
      <c r="V20" s="23"/>
      <c r="W20" s="23">
        <v>-47.0</v>
      </c>
      <c r="X20" s="23">
        <v>-49.0</v>
      </c>
      <c r="Y20" s="23">
        <f t="shared" si="9"/>
        <v>-2</v>
      </c>
      <c r="Z20" s="23">
        <v>-47.0</v>
      </c>
      <c r="AA20" s="23">
        <f t="shared" si="10"/>
        <v>-2</v>
      </c>
      <c r="AB20" s="23"/>
      <c r="AC20" s="23"/>
      <c r="AD20" s="27" t="s">
        <v>96</v>
      </c>
    </row>
    <row r="21" ht="15.75" customHeight="1">
      <c r="A21" s="22" t="s">
        <v>70</v>
      </c>
      <c r="B21" s="23">
        <v>884.0</v>
      </c>
      <c r="C21" s="23">
        <v>858.0</v>
      </c>
      <c r="D21" s="23">
        <f t="shared" si="1"/>
        <v>-26</v>
      </c>
      <c r="E21" s="23">
        <v>883.0</v>
      </c>
      <c r="F21" s="23">
        <f t="shared" si="2"/>
        <v>-25</v>
      </c>
      <c r="G21" s="23">
        <v>724.0</v>
      </c>
      <c r="H21" s="23">
        <f t="shared" ref="H21:H24" si="18">C21-G21</f>
        <v>134</v>
      </c>
      <c r="I21" s="23">
        <v>359.0</v>
      </c>
      <c r="J21" s="23">
        <v>355.0</v>
      </c>
      <c r="K21" s="23">
        <f t="shared" si="4"/>
        <v>-4</v>
      </c>
      <c r="L21" s="23">
        <v>376.0</v>
      </c>
      <c r="M21" s="23">
        <f t="shared" si="5"/>
        <v>-21</v>
      </c>
      <c r="N21" s="23">
        <v>178.0</v>
      </c>
      <c r="O21" s="23">
        <f t="shared" ref="O21:O24" si="19">J21-N21</f>
        <v>177</v>
      </c>
      <c r="P21" s="23">
        <v>355.0</v>
      </c>
      <c r="Q21" s="23">
        <f t="shared" ref="Q21:Q24" si="20">J21-P21</f>
        <v>0</v>
      </c>
      <c r="R21" s="23">
        <v>209.0</v>
      </c>
      <c r="S21" s="23">
        <v>233.0</v>
      </c>
      <c r="T21" s="23">
        <f t="shared" si="8"/>
        <v>24</v>
      </c>
      <c r="U21" s="23">
        <v>196.0</v>
      </c>
      <c r="V21" s="23">
        <v>524.0</v>
      </c>
      <c r="W21" s="23">
        <v>150.0</v>
      </c>
      <c r="X21" s="23">
        <v>123.0</v>
      </c>
      <c r="Y21" s="23">
        <f t="shared" si="9"/>
        <v>-27</v>
      </c>
      <c r="Z21" s="23">
        <v>180.0</v>
      </c>
      <c r="AA21" s="23">
        <f t="shared" si="10"/>
        <v>-57</v>
      </c>
      <c r="AB21" s="23">
        <v>-346.0</v>
      </c>
      <c r="AC21" s="23">
        <f t="shared" ref="AC21:AC24" si="21">X21-AB21</f>
        <v>469</v>
      </c>
      <c r="AD21" s="26" t="s">
        <v>97</v>
      </c>
    </row>
    <row r="22" ht="15.75" customHeight="1">
      <c r="A22" s="14" t="s">
        <v>72</v>
      </c>
      <c r="B22" s="15">
        <v>1193.0</v>
      </c>
      <c r="C22" s="15">
        <v>1194.0</v>
      </c>
      <c r="D22" s="15">
        <f t="shared" si="1"/>
        <v>1</v>
      </c>
      <c r="E22" s="15">
        <v>1193.0</v>
      </c>
      <c r="F22" s="15">
        <f t="shared" si="2"/>
        <v>1</v>
      </c>
      <c r="G22" s="15">
        <v>1095.0</v>
      </c>
      <c r="H22" s="15">
        <f t="shared" si="18"/>
        <v>99</v>
      </c>
      <c r="I22" s="15">
        <v>-126.0</v>
      </c>
      <c r="J22" s="15">
        <v>-123.0</v>
      </c>
      <c r="K22" s="15">
        <f t="shared" si="4"/>
        <v>3</v>
      </c>
      <c r="L22" s="15">
        <v>-126.0</v>
      </c>
      <c r="M22" s="15">
        <f t="shared" si="5"/>
        <v>3</v>
      </c>
      <c r="N22" s="15">
        <v>-46.0</v>
      </c>
      <c r="O22" s="15">
        <f t="shared" si="19"/>
        <v>-77</v>
      </c>
      <c r="P22" s="15">
        <v>-123.0</v>
      </c>
      <c r="Q22" s="15">
        <f t="shared" si="20"/>
        <v>0</v>
      </c>
      <c r="R22" s="15">
        <v>277.0</v>
      </c>
      <c r="S22" s="15">
        <v>258.0</v>
      </c>
      <c r="T22" s="15">
        <f t="shared" si="8"/>
        <v>-19</v>
      </c>
      <c r="U22" s="15">
        <v>277.0</v>
      </c>
      <c r="V22" s="15">
        <v>301.0</v>
      </c>
      <c r="W22" s="15">
        <v>-403.0</v>
      </c>
      <c r="X22" s="15">
        <v>-381.0</v>
      </c>
      <c r="Y22" s="15">
        <f t="shared" si="9"/>
        <v>22</v>
      </c>
      <c r="Z22" s="15">
        <v>-403.0</v>
      </c>
      <c r="AA22" s="15">
        <f t="shared" si="10"/>
        <v>22</v>
      </c>
      <c r="AB22" s="15">
        <v>-347.0</v>
      </c>
      <c r="AC22" s="15">
        <f t="shared" si="21"/>
        <v>-34</v>
      </c>
      <c r="AD22" s="24"/>
    </row>
    <row r="23" ht="15.75" customHeight="1">
      <c r="A23" s="22" t="s">
        <v>73</v>
      </c>
      <c r="B23" s="23">
        <v>1182.0</v>
      </c>
      <c r="C23" s="23">
        <v>1181.0</v>
      </c>
      <c r="D23" s="23">
        <f t="shared" si="1"/>
        <v>-1</v>
      </c>
      <c r="E23" s="23">
        <v>1182.0</v>
      </c>
      <c r="F23" s="23">
        <f t="shared" si="2"/>
        <v>-1</v>
      </c>
      <c r="G23" s="23">
        <v>1075.0</v>
      </c>
      <c r="H23" s="23">
        <f t="shared" si="18"/>
        <v>106</v>
      </c>
      <c r="I23" s="23">
        <v>0.0</v>
      </c>
      <c r="J23" s="23">
        <v>-11.0</v>
      </c>
      <c r="K23" s="23">
        <f t="shared" si="4"/>
        <v>-11</v>
      </c>
      <c r="L23" s="23">
        <v>0.0</v>
      </c>
      <c r="M23" s="23">
        <f t="shared" si="5"/>
        <v>-11</v>
      </c>
      <c r="N23" s="23">
        <v>33.0</v>
      </c>
      <c r="O23" s="23">
        <f t="shared" si="19"/>
        <v>-44</v>
      </c>
      <c r="P23" s="23">
        <v>-11.0</v>
      </c>
      <c r="Q23" s="23">
        <f t="shared" si="20"/>
        <v>0</v>
      </c>
      <c r="R23" s="23">
        <v>199.0</v>
      </c>
      <c r="S23" s="23">
        <v>132.0</v>
      </c>
      <c r="T23" s="23">
        <f t="shared" si="8"/>
        <v>-67</v>
      </c>
      <c r="U23" s="23">
        <v>199.0</v>
      </c>
      <c r="V23" s="23">
        <v>212.0</v>
      </c>
      <c r="W23" s="23">
        <v>-199.0</v>
      </c>
      <c r="X23" s="23">
        <v>-143.0</v>
      </c>
      <c r="Y23" s="23">
        <f t="shared" si="9"/>
        <v>56</v>
      </c>
      <c r="Z23" s="23">
        <v>-199.0</v>
      </c>
      <c r="AA23" s="23">
        <f t="shared" si="10"/>
        <v>56</v>
      </c>
      <c r="AB23" s="23">
        <v>-178.0</v>
      </c>
      <c r="AC23" s="23">
        <f t="shared" si="21"/>
        <v>35</v>
      </c>
      <c r="AD23" s="26" t="s">
        <v>98</v>
      </c>
    </row>
    <row r="24" ht="15.75" customHeight="1">
      <c r="A24" s="22" t="s">
        <v>74</v>
      </c>
      <c r="B24" s="23">
        <v>11.0</v>
      </c>
      <c r="C24" s="23">
        <v>13.0</v>
      </c>
      <c r="D24" s="23">
        <f t="shared" si="1"/>
        <v>2</v>
      </c>
      <c r="E24" s="23">
        <v>11.0</v>
      </c>
      <c r="F24" s="23">
        <f t="shared" si="2"/>
        <v>2</v>
      </c>
      <c r="G24" s="23">
        <v>20.0</v>
      </c>
      <c r="H24" s="23">
        <f t="shared" si="18"/>
        <v>-7</v>
      </c>
      <c r="I24" s="23">
        <v>-126.0</v>
      </c>
      <c r="J24" s="23">
        <v>-112.0</v>
      </c>
      <c r="K24" s="23">
        <f t="shared" si="4"/>
        <v>14</v>
      </c>
      <c r="L24" s="23">
        <v>-126.0</v>
      </c>
      <c r="M24" s="23">
        <f t="shared" si="5"/>
        <v>14</v>
      </c>
      <c r="N24" s="23">
        <v>-79.0</v>
      </c>
      <c r="O24" s="23">
        <f t="shared" si="19"/>
        <v>-33</v>
      </c>
      <c r="P24" s="23">
        <v>-112.0</v>
      </c>
      <c r="Q24" s="23">
        <f t="shared" si="20"/>
        <v>0</v>
      </c>
      <c r="R24" s="23">
        <v>365.0</v>
      </c>
      <c r="S24" s="23">
        <v>101.0</v>
      </c>
      <c r="T24" s="23">
        <f t="shared" si="8"/>
        <v>-264</v>
      </c>
      <c r="U24" s="23">
        <v>365.0</v>
      </c>
      <c r="V24" s="23">
        <v>90.0</v>
      </c>
      <c r="W24" s="23">
        <v>-491.0</v>
      </c>
      <c r="X24" s="23">
        <v>-214.0</v>
      </c>
      <c r="Y24" s="23">
        <f t="shared" si="9"/>
        <v>277</v>
      </c>
      <c r="Z24" s="23">
        <v>-491.0</v>
      </c>
      <c r="AA24" s="23">
        <f t="shared" si="10"/>
        <v>277</v>
      </c>
      <c r="AB24" s="23">
        <v>-169.0</v>
      </c>
      <c r="AC24" s="23">
        <f t="shared" si="21"/>
        <v>-45</v>
      </c>
      <c r="AD24" s="26" t="s">
        <v>99</v>
      </c>
    </row>
    <row r="25" ht="15.75" customHeight="1">
      <c r="A25" s="20" t="s">
        <v>76</v>
      </c>
      <c r="B25" s="21">
        <v>0.0</v>
      </c>
      <c r="C25" s="21">
        <v>0.0</v>
      </c>
      <c r="D25" s="21">
        <f t="shared" si="1"/>
        <v>0</v>
      </c>
      <c r="E25" s="21">
        <v>0.0</v>
      </c>
      <c r="F25" s="21">
        <f t="shared" si="2"/>
        <v>0</v>
      </c>
      <c r="G25" s="21"/>
      <c r="H25" s="21"/>
      <c r="I25" s="21">
        <v>0.0</v>
      </c>
      <c r="J25" s="21">
        <v>0.0</v>
      </c>
      <c r="K25" s="21">
        <f t="shared" si="4"/>
        <v>0</v>
      </c>
      <c r="L25" s="21">
        <v>0.0</v>
      </c>
      <c r="M25" s="21">
        <f t="shared" si="5"/>
        <v>0</v>
      </c>
      <c r="N25" s="21"/>
      <c r="O25" s="21"/>
      <c r="P25" s="21"/>
      <c r="Q25" s="21"/>
      <c r="R25" s="21">
        <v>-287.0</v>
      </c>
      <c r="S25" s="21">
        <v>24.0</v>
      </c>
      <c r="T25" s="21">
        <f t="shared" si="8"/>
        <v>311</v>
      </c>
      <c r="U25" s="21">
        <v>-287.0</v>
      </c>
      <c r="V25" s="21"/>
      <c r="W25" s="21">
        <v>287.0</v>
      </c>
      <c r="X25" s="21">
        <v>-24.0</v>
      </c>
      <c r="Y25" s="21">
        <f t="shared" si="9"/>
        <v>-311</v>
      </c>
      <c r="Z25" s="21">
        <v>287.0</v>
      </c>
      <c r="AA25" s="21">
        <f t="shared" si="10"/>
        <v>-311</v>
      </c>
      <c r="AB25" s="21"/>
      <c r="AC25" s="21"/>
      <c r="AD25" s="25" t="s">
        <v>100</v>
      </c>
    </row>
    <row r="26" ht="15.75" customHeight="1">
      <c r="A26" s="14" t="s">
        <v>77</v>
      </c>
      <c r="B26" s="15">
        <v>-629.0</v>
      </c>
      <c r="C26" s="15">
        <v>-629.0</v>
      </c>
      <c r="D26" s="15">
        <f t="shared" si="1"/>
        <v>0</v>
      </c>
      <c r="E26" s="15">
        <v>-629.0</v>
      </c>
      <c r="F26" s="15">
        <f t="shared" si="2"/>
        <v>0</v>
      </c>
      <c r="G26" s="15">
        <v>-125.0</v>
      </c>
      <c r="H26" s="15">
        <f t="shared" ref="H26:H32" si="22">C26-G26</f>
        <v>-504</v>
      </c>
      <c r="I26" s="15">
        <v>-524.0</v>
      </c>
      <c r="J26" s="15">
        <v>-504.0</v>
      </c>
      <c r="K26" s="15">
        <f t="shared" si="4"/>
        <v>20</v>
      </c>
      <c r="L26" s="15">
        <v>-524.0</v>
      </c>
      <c r="M26" s="15">
        <f t="shared" si="5"/>
        <v>20</v>
      </c>
      <c r="N26" s="15">
        <v>-347.0</v>
      </c>
      <c r="O26" s="15">
        <f t="shared" ref="O26:O32" si="23">J26-N26</f>
        <v>-157</v>
      </c>
      <c r="P26" s="15">
        <v>-589.0</v>
      </c>
      <c r="Q26" s="15">
        <f>J26-P26</f>
        <v>85</v>
      </c>
      <c r="R26" s="15">
        <v>1022.0</v>
      </c>
      <c r="S26" s="15">
        <v>1046.0</v>
      </c>
      <c r="T26" s="15">
        <f t="shared" si="8"/>
        <v>24</v>
      </c>
      <c r="U26" s="15">
        <v>1048.0</v>
      </c>
      <c r="V26" s="15">
        <v>1577.0</v>
      </c>
      <c r="W26" s="15">
        <v>-1545.0</v>
      </c>
      <c r="X26" s="15">
        <v>-1550.0</v>
      </c>
      <c r="Y26" s="15">
        <f t="shared" si="9"/>
        <v>-5</v>
      </c>
      <c r="Z26" s="15">
        <v>-1572.0</v>
      </c>
      <c r="AA26" s="15">
        <f t="shared" si="10"/>
        <v>22</v>
      </c>
      <c r="AB26" s="15">
        <v>-1924.0</v>
      </c>
      <c r="AC26" s="15">
        <f t="shared" ref="AC26:AC32" si="24">X26-AB26</f>
        <v>374</v>
      </c>
      <c r="AD26" s="24"/>
    </row>
    <row r="27" ht="15.75" customHeight="1">
      <c r="A27" s="20" t="s">
        <v>78</v>
      </c>
      <c r="B27" s="21">
        <v>0.0</v>
      </c>
      <c r="C27" s="21">
        <v>0.0</v>
      </c>
      <c r="D27" s="21">
        <f t="shared" si="1"/>
        <v>0</v>
      </c>
      <c r="E27" s="21">
        <v>0.0</v>
      </c>
      <c r="F27" s="21">
        <f t="shared" si="2"/>
        <v>0</v>
      </c>
      <c r="G27" s="21">
        <v>0.0</v>
      </c>
      <c r="H27" s="21">
        <f t="shared" si="22"/>
        <v>0</v>
      </c>
      <c r="I27" s="21">
        <v>0.0</v>
      </c>
      <c r="J27" s="21">
        <v>0.0</v>
      </c>
      <c r="K27" s="21">
        <f t="shared" si="4"/>
        <v>0</v>
      </c>
      <c r="L27" s="21">
        <v>0.0</v>
      </c>
      <c r="M27" s="21">
        <f t="shared" si="5"/>
        <v>0</v>
      </c>
      <c r="N27" s="21">
        <v>11.0</v>
      </c>
      <c r="O27" s="21">
        <f t="shared" si="23"/>
        <v>-11</v>
      </c>
      <c r="P27" s="21"/>
      <c r="Q27" s="21"/>
      <c r="R27" s="21">
        <v>447.0</v>
      </c>
      <c r="S27" s="21">
        <v>597.0</v>
      </c>
      <c r="T27" s="21">
        <f t="shared" si="8"/>
        <v>150</v>
      </c>
      <c r="U27" s="21">
        <v>430.0</v>
      </c>
      <c r="V27" s="21">
        <v>802.0</v>
      </c>
      <c r="W27" s="21">
        <v>-447.0</v>
      </c>
      <c r="X27" s="21">
        <v>-597.0</v>
      </c>
      <c r="Y27" s="21">
        <f t="shared" si="9"/>
        <v>-150</v>
      </c>
      <c r="Z27" s="21">
        <v>-430.0</v>
      </c>
      <c r="AA27" s="21">
        <f t="shared" si="10"/>
        <v>-167</v>
      </c>
      <c r="AB27" s="21">
        <v>-791.0</v>
      </c>
      <c r="AC27" s="21">
        <f t="shared" si="24"/>
        <v>194</v>
      </c>
      <c r="AD27" s="25" t="s">
        <v>101</v>
      </c>
    </row>
    <row r="28" ht="15.75" customHeight="1">
      <c r="A28" s="22" t="s">
        <v>79</v>
      </c>
      <c r="B28" s="23">
        <v>0.0</v>
      </c>
      <c r="C28" s="23">
        <v>0.0</v>
      </c>
      <c r="D28" s="23">
        <f t="shared" si="1"/>
        <v>0</v>
      </c>
      <c r="E28" s="23">
        <v>0.0</v>
      </c>
      <c r="F28" s="23">
        <f t="shared" si="2"/>
        <v>0</v>
      </c>
      <c r="G28" s="23">
        <v>0.0</v>
      </c>
      <c r="H28" s="23">
        <f t="shared" si="22"/>
        <v>0</v>
      </c>
      <c r="I28" s="23">
        <v>0.0</v>
      </c>
      <c r="J28" s="23">
        <v>0.0</v>
      </c>
      <c r="K28" s="23">
        <f t="shared" si="4"/>
        <v>0</v>
      </c>
      <c r="L28" s="23">
        <v>0.0</v>
      </c>
      <c r="M28" s="23">
        <f t="shared" si="5"/>
        <v>0</v>
      </c>
      <c r="N28" s="23">
        <v>0.0</v>
      </c>
      <c r="O28" s="23">
        <f t="shared" si="23"/>
        <v>0</v>
      </c>
      <c r="P28" s="23"/>
      <c r="Q28" s="23"/>
      <c r="R28" s="23">
        <v>93.0</v>
      </c>
      <c r="S28" s="23">
        <v>194.0</v>
      </c>
      <c r="T28" s="23">
        <f t="shared" si="8"/>
        <v>101</v>
      </c>
      <c r="U28" s="23">
        <v>93.0</v>
      </c>
      <c r="V28" s="23">
        <v>366.0</v>
      </c>
      <c r="W28" s="23">
        <v>-93.0</v>
      </c>
      <c r="X28" s="23">
        <v>-194.0</v>
      </c>
      <c r="Y28" s="23">
        <f t="shared" si="9"/>
        <v>-101</v>
      </c>
      <c r="Z28" s="23">
        <v>-93.0</v>
      </c>
      <c r="AA28" s="23">
        <f t="shared" si="10"/>
        <v>-101</v>
      </c>
      <c r="AB28" s="23">
        <v>-366.0</v>
      </c>
      <c r="AC28" s="23">
        <f t="shared" si="24"/>
        <v>172</v>
      </c>
      <c r="AD28" s="26" t="s">
        <v>102</v>
      </c>
    </row>
    <row r="29" ht="15.75" customHeight="1">
      <c r="A29" s="22" t="s">
        <v>80</v>
      </c>
      <c r="B29" s="23">
        <v>0.0</v>
      </c>
      <c r="C29" s="23">
        <v>0.0</v>
      </c>
      <c r="D29" s="23">
        <f t="shared" si="1"/>
        <v>0</v>
      </c>
      <c r="E29" s="23">
        <v>0.0</v>
      </c>
      <c r="F29" s="23">
        <f t="shared" si="2"/>
        <v>0</v>
      </c>
      <c r="G29" s="23">
        <v>0.0</v>
      </c>
      <c r="H29" s="23">
        <f t="shared" si="22"/>
        <v>0</v>
      </c>
      <c r="I29" s="23">
        <v>0.0</v>
      </c>
      <c r="J29" s="23">
        <v>0.0</v>
      </c>
      <c r="K29" s="23">
        <f t="shared" si="4"/>
        <v>0</v>
      </c>
      <c r="L29" s="23">
        <v>0.0</v>
      </c>
      <c r="M29" s="23">
        <f t="shared" si="5"/>
        <v>0</v>
      </c>
      <c r="N29" s="23">
        <v>0.0</v>
      </c>
      <c r="O29" s="23">
        <f t="shared" si="23"/>
        <v>0</v>
      </c>
      <c r="P29" s="23"/>
      <c r="Q29" s="23"/>
      <c r="R29" s="23">
        <v>325.0</v>
      </c>
      <c r="S29" s="23">
        <v>267.0</v>
      </c>
      <c r="T29" s="23">
        <f t="shared" si="8"/>
        <v>-58</v>
      </c>
      <c r="U29" s="23">
        <v>308.0</v>
      </c>
      <c r="V29" s="23">
        <v>114.0</v>
      </c>
      <c r="W29" s="23">
        <v>-325.0</v>
      </c>
      <c r="X29" s="23">
        <v>-267.0</v>
      </c>
      <c r="Y29" s="23">
        <f t="shared" si="9"/>
        <v>58</v>
      </c>
      <c r="Z29" s="23">
        <v>-308.0</v>
      </c>
      <c r="AA29" s="23">
        <f t="shared" si="10"/>
        <v>41</v>
      </c>
      <c r="AB29" s="23">
        <v>-114.0</v>
      </c>
      <c r="AC29" s="23">
        <f t="shared" si="24"/>
        <v>-153</v>
      </c>
      <c r="AD29" s="26"/>
    </row>
    <row r="30" ht="15.75" customHeight="1">
      <c r="A30" s="20" t="s">
        <v>81</v>
      </c>
      <c r="B30" s="21">
        <v>0.0</v>
      </c>
      <c r="C30" s="21">
        <v>0.0</v>
      </c>
      <c r="D30" s="21">
        <f t="shared" si="1"/>
        <v>0</v>
      </c>
      <c r="E30" s="21">
        <v>0.0</v>
      </c>
      <c r="F30" s="21">
        <f t="shared" si="2"/>
        <v>0</v>
      </c>
      <c r="G30" s="21">
        <v>0.0</v>
      </c>
      <c r="H30" s="21">
        <f t="shared" si="22"/>
        <v>0</v>
      </c>
      <c r="I30" s="21">
        <v>0.0</v>
      </c>
      <c r="J30" s="21">
        <v>0.0</v>
      </c>
      <c r="K30" s="21">
        <f t="shared" si="4"/>
        <v>0</v>
      </c>
      <c r="L30" s="21">
        <v>0.0</v>
      </c>
      <c r="M30" s="21">
        <f t="shared" si="5"/>
        <v>0</v>
      </c>
      <c r="N30" s="21">
        <v>11.0</v>
      </c>
      <c r="O30" s="21">
        <f t="shared" si="23"/>
        <v>-11</v>
      </c>
      <c r="P30" s="21"/>
      <c r="Q30" s="21"/>
      <c r="R30" s="21">
        <v>29.0</v>
      </c>
      <c r="S30" s="21">
        <v>135.0</v>
      </c>
      <c r="T30" s="21">
        <f t="shared" si="8"/>
        <v>106</v>
      </c>
      <c r="U30" s="21">
        <v>29.0</v>
      </c>
      <c r="V30" s="21">
        <v>322.0</v>
      </c>
      <c r="W30" s="21">
        <v>-29.0</v>
      </c>
      <c r="X30" s="21">
        <v>-135.0</v>
      </c>
      <c r="Y30" s="21">
        <f t="shared" si="9"/>
        <v>-106</v>
      </c>
      <c r="Z30" s="21">
        <v>-29.0</v>
      </c>
      <c r="AA30" s="21">
        <f t="shared" si="10"/>
        <v>-106</v>
      </c>
      <c r="AB30" s="21">
        <v>-311.0</v>
      </c>
      <c r="AC30" s="21">
        <f t="shared" si="24"/>
        <v>176</v>
      </c>
      <c r="AD30" s="25" t="s">
        <v>103</v>
      </c>
    </row>
    <row r="31" ht="15.75" customHeight="1">
      <c r="A31" s="22" t="s">
        <v>83</v>
      </c>
      <c r="B31" s="23">
        <v>-629.0</v>
      </c>
      <c r="C31" s="23">
        <v>-629.0</v>
      </c>
      <c r="D31" s="23">
        <f t="shared" si="1"/>
        <v>0</v>
      </c>
      <c r="E31" s="23">
        <v>-629.0</v>
      </c>
      <c r="F31" s="23">
        <f t="shared" si="2"/>
        <v>0</v>
      </c>
      <c r="G31" s="23">
        <v>-125.0</v>
      </c>
      <c r="H31" s="23">
        <f t="shared" si="22"/>
        <v>-504</v>
      </c>
      <c r="I31" s="23">
        <v>-524.0</v>
      </c>
      <c r="J31" s="23">
        <v>-503.0</v>
      </c>
      <c r="K31" s="23">
        <f t="shared" si="4"/>
        <v>21</v>
      </c>
      <c r="L31" s="23">
        <v>-524.0</v>
      </c>
      <c r="M31" s="23">
        <f t="shared" si="5"/>
        <v>21</v>
      </c>
      <c r="N31" s="23">
        <v>-359.0</v>
      </c>
      <c r="O31" s="23">
        <f t="shared" si="23"/>
        <v>-144</v>
      </c>
      <c r="P31" s="23">
        <v>-589.0</v>
      </c>
      <c r="Q31" s="23">
        <f>J31-P31</f>
        <v>86</v>
      </c>
      <c r="R31" s="23">
        <v>0.0</v>
      </c>
      <c r="S31" s="23">
        <v>17.0</v>
      </c>
      <c r="T31" s="23">
        <f t="shared" si="8"/>
        <v>17</v>
      </c>
      <c r="U31" s="23">
        <v>17.0</v>
      </c>
      <c r="V31" s="23">
        <v>52.0</v>
      </c>
      <c r="W31" s="23">
        <v>-524.0</v>
      </c>
      <c r="X31" s="23">
        <v>-519.0</v>
      </c>
      <c r="Y31" s="23">
        <f t="shared" si="9"/>
        <v>5</v>
      </c>
      <c r="Z31" s="23">
        <v>-541.0</v>
      </c>
      <c r="AA31" s="23">
        <f t="shared" si="10"/>
        <v>22</v>
      </c>
      <c r="AB31" s="23">
        <v>-410.0</v>
      </c>
      <c r="AC31" s="23">
        <f t="shared" si="24"/>
        <v>-109</v>
      </c>
      <c r="AD31" s="26" t="s">
        <v>104</v>
      </c>
    </row>
    <row r="32" ht="15.75" customHeight="1">
      <c r="A32" s="22" t="s">
        <v>84</v>
      </c>
      <c r="B32" s="23">
        <v>0.0</v>
      </c>
      <c r="C32" s="23">
        <v>0.0</v>
      </c>
      <c r="D32" s="23">
        <f t="shared" si="1"/>
        <v>0</v>
      </c>
      <c r="E32" s="23">
        <v>0.0</v>
      </c>
      <c r="F32" s="23">
        <f t="shared" si="2"/>
        <v>0</v>
      </c>
      <c r="G32" s="23">
        <v>0.0</v>
      </c>
      <c r="H32" s="23">
        <f t="shared" si="22"/>
        <v>0</v>
      </c>
      <c r="I32" s="23">
        <v>0.0</v>
      </c>
      <c r="J32" s="23">
        <v>-2.0</v>
      </c>
      <c r="K32" s="23">
        <f t="shared" si="4"/>
        <v>-2</v>
      </c>
      <c r="L32" s="23">
        <v>0.0</v>
      </c>
      <c r="M32" s="23">
        <f t="shared" si="5"/>
        <v>-2</v>
      </c>
      <c r="N32" s="23">
        <v>0.0</v>
      </c>
      <c r="O32" s="23">
        <f t="shared" si="23"/>
        <v>-2</v>
      </c>
      <c r="P32" s="23"/>
      <c r="Q32" s="23"/>
      <c r="R32" s="23">
        <v>180.0</v>
      </c>
      <c r="S32" s="23">
        <v>161.0</v>
      </c>
      <c r="T32" s="23">
        <f t="shared" si="8"/>
        <v>-19</v>
      </c>
      <c r="U32" s="23">
        <v>180.0</v>
      </c>
      <c r="V32" s="23">
        <v>570.0</v>
      </c>
      <c r="W32" s="23">
        <v>-180.0</v>
      </c>
      <c r="X32" s="23">
        <v>-162.0</v>
      </c>
      <c r="Y32" s="23">
        <f t="shared" si="9"/>
        <v>18</v>
      </c>
      <c r="Z32" s="23">
        <v>-180.0</v>
      </c>
      <c r="AA32" s="23">
        <f t="shared" si="10"/>
        <v>18</v>
      </c>
      <c r="AB32" s="23">
        <v>-570.0</v>
      </c>
      <c r="AC32" s="23">
        <f t="shared" si="24"/>
        <v>408</v>
      </c>
      <c r="AD32" s="26" t="s">
        <v>105</v>
      </c>
    </row>
    <row r="33" ht="15.75" customHeight="1">
      <c r="A33" s="22" t="s">
        <v>85</v>
      </c>
      <c r="B33" s="23">
        <v>0.0</v>
      </c>
      <c r="C33" s="23">
        <v>0.0</v>
      </c>
      <c r="D33" s="23">
        <f t="shared" si="1"/>
        <v>0</v>
      </c>
      <c r="E33" s="23">
        <v>0.0</v>
      </c>
      <c r="F33" s="23">
        <f t="shared" si="2"/>
        <v>0</v>
      </c>
      <c r="G33" s="23"/>
      <c r="H33" s="23"/>
      <c r="I33" s="23">
        <v>0.0</v>
      </c>
      <c r="J33" s="23">
        <v>0.0</v>
      </c>
      <c r="K33" s="23">
        <f t="shared" si="4"/>
        <v>0</v>
      </c>
      <c r="L33" s="23">
        <v>0.0</v>
      </c>
      <c r="M33" s="23">
        <f t="shared" si="5"/>
        <v>0</v>
      </c>
      <c r="N33" s="23"/>
      <c r="O33" s="23"/>
      <c r="P33" s="23"/>
      <c r="Q33" s="23"/>
      <c r="R33" s="23">
        <v>202.0</v>
      </c>
      <c r="S33" s="23">
        <v>209.0</v>
      </c>
      <c r="T33" s="23">
        <f t="shared" si="8"/>
        <v>7</v>
      </c>
      <c r="U33" s="23">
        <v>202.0</v>
      </c>
      <c r="V33" s="23"/>
      <c r="W33" s="23">
        <v>-202.0</v>
      </c>
      <c r="X33" s="23">
        <v>-209.0</v>
      </c>
      <c r="Y33" s="23">
        <f t="shared" si="9"/>
        <v>-7</v>
      </c>
      <c r="Z33" s="23">
        <v>-202.0</v>
      </c>
      <c r="AA33" s="23">
        <f t="shared" si="10"/>
        <v>-7</v>
      </c>
      <c r="AB33" s="23"/>
      <c r="AC33" s="23"/>
      <c r="AD33" s="26" t="s">
        <v>106</v>
      </c>
    </row>
    <row r="34" ht="15.75" customHeight="1">
      <c r="A34" s="20" t="s">
        <v>86</v>
      </c>
      <c r="B34" s="21">
        <v>0.0</v>
      </c>
      <c r="C34" s="21">
        <v>0.0</v>
      </c>
      <c r="D34" s="21">
        <f t="shared" si="1"/>
        <v>0</v>
      </c>
      <c r="E34" s="21">
        <v>0.0</v>
      </c>
      <c r="F34" s="21">
        <f t="shared" si="2"/>
        <v>0</v>
      </c>
      <c r="G34" s="21">
        <v>0.0</v>
      </c>
      <c r="H34" s="21">
        <f t="shared" ref="H34:H37" si="25">C34-G34</f>
        <v>0</v>
      </c>
      <c r="I34" s="21">
        <v>0.0</v>
      </c>
      <c r="J34" s="21">
        <v>0.0</v>
      </c>
      <c r="K34" s="21">
        <f t="shared" si="4"/>
        <v>0</v>
      </c>
      <c r="L34" s="21">
        <v>0.0</v>
      </c>
      <c r="M34" s="21">
        <f t="shared" si="5"/>
        <v>0</v>
      </c>
      <c r="N34" s="21">
        <v>0.0</v>
      </c>
      <c r="O34" s="21">
        <f t="shared" ref="O34:O37" si="26">J34-N34</f>
        <v>0</v>
      </c>
      <c r="P34" s="21"/>
      <c r="Q34" s="21"/>
      <c r="R34" s="21">
        <v>69.0</v>
      </c>
      <c r="S34" s="21">
        <v>-30.0</v>
      </c>
      <c r="T34" s="21">
        <f t="shared" si="8"/>
        <v>-99</v>
      </c>
      <c r="U34" s="21">
        <v>69.0</v>
      </c>
      <c r="V34" s="21">
        <v>-1.0</v>
      </c>
      <c r="W34" s="21">
        <v>-69.0</v>
      </c>
      <c r="X34" s="21">
        <v>30.0</v>
      </c>
      <c r="Y34" s="21">
        <f t="shared" si="9"/>
        <v>99</v>
      </c>
      <c r="Z34" s="21">
        <v>-69.0</v>
      </c>
      <c r="AA34" s="21">
        <f t="shared" si="10"/>
        <v>99</v>
      </c>
      <c r="AB34" s="21">
        <v>1.0</v>
      </c>
      <c r="AC34" s="21">
        <f t="shared" ref="AC34:AC37" si="27">X34-AB34</f>
        <v>29</v>
      </c>
      <c r="AD34" s="25"/>
    </row>
    <row r="35" ht="15.75" customHeight="1">
      <c r="A35" s="20" t="s">
        <v>88</v>
      </c>
      <c r="B35" s="21">
        <v>0.0</v>
      </c>
      <c r="C35" s="21">
        <v>0.0</v>
      </c>
      <c r="D35" s="21">
        <f t="shared" si="1"/>
        <v>0</v>
      </c>
      <c r="E35" s="21">
        <v>0.0</v>
      </c>
      <c r="F35" s="21">
        <f t="shared" si="2"/>
        <v>0</v>
      </c>
      <c r="G35" s="21">
        <v>0.0</v>
      </c>
      <c r="H35" s="21">
        <f t="shared" si="25"/>
        <v>0</v>
      </c>
      <c r="I35" s="21">
        <v>0.0</v>
      </c>
      <c r="J35" s="21">
        <v>0.0</v>
      </c>
      <c r="K35" s="21">
        <f t="shared" si="4"/>
        <v>0</v>
      </c>
      <c r="L35" s="21">
        <v>0.0</v>
      </c>
      <c r="M35" s="21">
        <f t="shared" si="5"/>
        <v>0</v>
      </c>
      <c r="N35" s="21">
        <v>0.0</v>
      </c>
      <c r="O35" s="21">
        <f t="shared" si="26"/>
        <v>0</v>
      </c>
      <c r="P35" s="21"/>
      <c r="Q35" s="21"/>
      <c r="R35" s="21">
        <v>-91.0</v>
      </c>
      <c r="S35" s="21">
        <v>-4.0</v>
      </c>
      <c r="T35" s="21">
        <f t="shared" si="8"/>
        <v>87</v>
      </c>
      <c r="U35" s="21">
        <v>-91.0</v>
      </c>
      <c r="V35" s="21">
        <v>16.0</v>
      </c>
      <c r="W35" s="21">
        <v>91.0</v>
      </c>
      <c r="X35" s="21">
        <v>4.0</v>
      </c>
      <c r="Y35" s="21">
        <f t="shared" si="9"/>
        <v>-87</v>
      </c>
      <c r="Z35" s="21">
        <v>91.0</v>
      </c>
      <c r="AA35" s="21">
        <f t="shared" si="10"/>
        <v>-87</v>
      </c>
      <c r="AB35" s="21">
        <v>-16.0</v>
      </c>
      <c r="AC35" s="21">
        <f t="shared" si="27"/>
        <v>20</v>
      </c>
      <c r="AD35" s="25"/>
    </row>
    <row r="36" ht="15.75" customHeight="1">
      <c r="A36" s="20" t="s">
        <v>89</v>
      </c>
      <c r="B36" s="21">
        <v>0.0</v>
      </c>
      <c r="C36" s="21">
        <v>0.0</v>
      </c>
      <c r="D36" s="21">
        <f t="shared" si="1"/>
        <v>0</v>
      </c>
      <c r="E36" s="21">
        <v>0.0</v>
      </c>
      <c r="F36" s="21">
        <f t="shared" si="2"/>
        <v>0</v>
      </c>
      <c r="G36" s="21">
        <v>0.0</v>
      </c>
      <c r="H36" s="21">
        <f t="shared" si="25"/>
        <v>0</v>
      </c>
      <c r="I36" s="21">
        <v>0.0</v>
      </c>
      <c r="J36" s="21">
        <v>0.0</v>
      </c>
      <c r="K36" s="21">
        <f t="shared" si="4"/>
        <v>0</v>
      </c>
      <c r="L36" s="21">
        <v>0.0</v>
      </c>
      <c r="M36" s="21">
        <f t="shared" si="5"/>
        <v>0</v>
      </c>
      <c r="N36" s="21">
        <v>0.0</v>
      </c>
      <c r="O36" s="21">
        <f t="shared" si="26"/>
        <v>0</v>
      </c>
      <c r="P36" s="21"/>
      <c r="Q36" s="21"/>
      <c r="R36" s="21">
        <v>116.0</v>
      </c>
      <c r="S36" s="21">
        <v>97.0</v>
      </c>
      <c r="T36" s="21">
        <f t="shared" si="8"/>
        <v>-19</v>
      </c>
      <c r="U36" s="21">
        <v>116.0</v>
      </c>
      <c r="V36" s="21">
        <v>138.0</v>
      </c>
      <c r="W36" s="21">
        <v>-116.0</v>
      </c>
      <c r="X36" s="21">
        <v>-97.0</v>
      </c>
      <c r="Y36" s="21">
        <f t="shared" si="9"/>
        <v>19</v>
      </c>
      <c r="Z36" s="21">
        <v>-116.0</v>
      </c>
      <c r="AA36" s="21">
        <f t="shared" si="10"/>
        <v>19</v>
      </c>
      <c r="AB36" s="21">
        <v>-138.0</v>
      </c>
      <c r="AC36" s="21">
        <f t="shared" si="27"/>
        <v>41</v>
      </c>
      <c r="AD36" s="25"/>
    </row>
    <row r="37" ht="15.75" customHeight="1">
      <c r="A37" s="20" t="s">
        <v>91</v>
      </c>
      <c r="B37" s="21">
        <v>0.0</v>
      </c>
      <c r="C37" s="21">
        <v>0.0</v>
      </c>
      <c r="D37" s="21">
        <f t="shared" si="1"/>
        <v>0</v>
      </c>
      <c r="E37" s="21">
        <v>0.0</v>
      </c>
      <c r="F37" s="21">
        <f t="shared" si="2"/>
        <v>0</v>
      </c>
      <c r="G37" s="21">
        <v>0.0</v>
      </c>
      <c r="H37" s="21">
        <f t="shared" si="25"/>
        <v>0</v>
      </c>
      <c r="I37" s="21">
        <v>0.0</v>
      </c>
      <c r="J37" s="21">
        <v>0.0</v>
      </c>
      <c r="K37" s="21">
        <f t="shared" si="4"/>
        <v>0</v>
      </c>
      <c r="L37" s="21">
        <v>0.0</v>
      </c>
      <c r="M37" s="21">
        <f t="shared" si="5"/>
        <v>0</v>
      </c>
      <c r="N37" s="21">
        <v>0.0</v>
      </c>
      <c r="O37" s="21">
        <f t="shared" si="26"/>
        <v>0</v>
      </c>
      <c r="P37" s="21"/>
      <c r="Q37" s="21"/>
      <c r="R37" s="21">
        <v>99.0</v>
      </c>
      <c r="S37" s="21">
        <v>0.0</v>
      </c>
      <c r="T37" s="21">
        <f t="shared" si="8"/>
        <v>-99</v>
      </c>
      <c r="U37" s="21">
        <v>126.0</v>
      </c>
      <c r="V37" s="21">
        <v>0.0</v>
      </c>
      <c r="W37" s="21">
        <v>-99.0</v>
      </c>
      <c r="X37" s="21">
        <v>0.0</v>
      </c>
      <c r="Y37" s="21">
        <f t="shared" si="9"/>
        <v>99</v>
      </c>
      <c r="Z37" s="21">
        <v>-126.0</v>
      </c>
      <c r="AA37" s="21">
        <f t="shared" si="10"/>
        <v>126</v>
      </c>
      <c r="AB37" s="21">
        <v>0.0</v>
      </c>
      <c r="AC37" s="21">
        <f t="shared" si="27"/>
        <v>0</v>
      </c>
      <c r="AD37" s="25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4:A5"/>
    <mergeCell ref="B4:H4"/>
    <mergeCell ref="I4:Q4"/>
    <mergeCell ref="R4:V4"/>
    <mergeCell ref="W4:AC4"/>
    <mergeCell ref="AD4:AD5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8.0"/>
    <col customWidth="1" min="2" max="26" width="8.71"/>
  </cols>
  <sheetData>
    <row r="1">
      <c r="A1" s="2" t="s">
        <v>1</v>
      </c>
    </row>
    <row r="2">
      <c r="A2" s="4" t="s">
        <v>5</v>
      </c>
    </row>
    <row r="3">
      <c r="A3" s="4" t="s">
        <v>6</v>
      </c>
    </row>
    <row r="4">
      <c r="A4" s="4" t="s">
        <v>10</v>
      </c>
    </row>
    <row r="5">
      <c r="A5" s="4" t="s">
        <v>12</v>
      </c>
    </row>
    <row r="6">
      <c r="A6" s="4" t="s">
        <v>14</v>
      </c>
    </row>
    <row r="7">
      <c r="A7" s="4"/>
    </row>
    <row r="8">
      <c r="A8" s="2" t="s">
        <v>15</v>
      </c>
    </row>
    <row r="9">
      <c r="A9" s="4" t="s">
        <v>16</v>
      </c>
    </row>
    <row r="10">
      <c r="A10" s="4" t="s">
        <v>22</v>
      </c>
    </row>
    <row r="11">
      <c r="A11" s="4"/>
    </row>
    <row r="12">
      <c r="A12" s="2" t="s">
        <v>25</v>
      </c>
    </row>
    <row r="13">
      <c r="A13" s="4" t="s">
        <v>28</v>
      </c>
    </row>
    <row r="14">
      <c r="A14" s="4" t="s">
        <v>31</v>
      </c>
    </row>
    <row r="15">
      <c r="A15" s="4" t="s">
        <v>32</v>
      </c>
    </row>
    <row r="16">
      <c r="A16" s="4" t="s">
        <v>34</v>
      </c>
    </row>
    <row r="17">
      <c r="A17" s="4" t="s">
        <v>35</v>
      </c>
    </row>
    <row r="18">
      <c r="A18" s="4"/>
    </row>
    <row r="19">
      <c r="A19" s="2" t="s">
        <v>36</v>
      </c>
    </row>
    <row r="20">
      <c r="A20" s="4" t="s">
        <v>38</v>
      </c>
    </row>
    <row r="21" ht="15.75" customHeight="1">
      <c r="A21" s="4" t="s">
        <v>41</v>
      </c>
    </row>
    <row r="22" ht="15.75" customHeight="1">
      <c r="A22" s="4" t="s">
        <v>43</v>
      </c>
    </row>
    <row r="23" ht="15.75" customHeight="1">
      <c r="A23" s="4" t="s">
        <v>45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