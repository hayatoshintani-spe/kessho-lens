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マスタ" sheetId="2" state="visible" r:id="rId2"/>
    <sheet xmlns:r="http://schemas.openxmlformats.org/officeDocument/2006/relationships" name="週次申告" sheetId="3" state="visible" r:id="rId3"/>
    <sheet xmlns:r="http://schemas.openxmlformats.org/officeDocument/2006/relationships" name="集計・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Yu Gothic"/>
      <b val="1"/>
      <color rgb="003A106E"/>
      <sz val="14"/>
    </font>
    <font>
      <name val="Yu Gothic"/>
      <b val="1"/>
      <color rgb="003A106E"/>
      <sz val="11"/>
    </font>
    <font>
      <name val="Yu Gothic"/>
      <sz val="10"/>
    </font>
    <font>
      <name val="Yu Gothic"/>
      <color rgb="005F5F6E"/>
      <sz val="9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b val="1"/>
      <color rgb="003A106E"/>
      <sz val="10"/>
    </font>
  </fonts>
  <fills count="4">
    <fill>
      <patternFill/>
    </fill>
    <fill>
      <patternFill patternType="gray125"/>
    </fill>
    <fill>
      <patternFill patternType="solid">
        <fgColor rgb="003A106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E0"/>
      </left>
      <right style="thin">
        <color rgb="00D9D9E0"/>
      </right>
      <top style="thin">
        <color rgb="00D9D9E0"/>
      </top>
      <bottom style="thin">
        <color rgb="00D9D9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7" fillId="0" borderId="0" pivotButton="0" quotePrefix="0" xfId="0"/>
    <xf numFmtId="164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営業工数 週次申告テンプレート（1人1ファイル or 1シート）</t>
        </is>
      </c>
    </row>
    <row r="3">
      <c r="A3" s="2" t="inlineStr">
        <is>
          <t>■ 目的（経営宣言より）</t>
        </is>
      </c>
    </row>
    <row r="4">
      <c r="A4" s="3" t="inlineStr">
        <is>
          <t>工数把握は人事評価には一切使わない。目的は、①高工数低収益案件の特定、②監修・契約・社内調整など営業以外の負荷の定量化、③営業の時間を提案・商談・顧客開拓に取り戻すための根拠づくり——この3点のみ。</t>
        </is>
      </c>
    </row>
    <row r="5">
      <c r="A5" s="3" t="inlineStr"/>
    </row>
    <row r="6">
      <c r="A6" s="2" t="inlineStr">
        <is>
          <t>■ 使い方（週15分以内で完了する設計）</t>
        </is>
      </c>
    </row>
    <row r="7">
      <c r="A7" s="3" t="inlineStr">
        <is>
          <t>1.「週次申告」シートに氏名と週開始日を入れ、1日単位でざっくり入力する（0.5時間単位。分単位の正確さは不要）</t>
        </is>
      </c>
    </row>
    <row r="8">
      <c r="A8" s="3" t="inlineStr">
        <is>
          <t>2. 活動分類はプルダウンの10分類から選ぶ。案件に紐づかない業務は案件IDを空欄にして分類のみ入力</t>
        </is>
      </c>
    </row>
    <row r="9">
      <c r="A9" s="3" t="inlineStr">
        <is>
          <t>3. 毎週金曜または月曜朝に提出（STOへ共有）。「集計・分析」シートは自動計算</t>
        </is>
      </c>
    </row>
    <row r="10">
      <c r="A10" s="3" t="inlineStr">
        <is>
          <t>4. STOは月次で全員分を統合し、案件別・顧客別・工程別の全社集計を作成する</t>
        </is>
      </c>
    </row>
    <row r="11">
      <c r="A11" s="3" t="inlineStr"/>
    </row>
    <row r="12">
      <c r="A12" s="4" t="inlineStr">
        <is>
          <t>※ 記憶で埋めてよい。7割の精度で十分。続けることに価値がある</t>
        </is>
      </c>
    </row>
    <row r="13">
      <c r="A13" s="4" t="inlineStr">
        <is>
          <t>※ 90日間の時限計測。継続可否はDay 90に判断する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活動分類（10分類）</t>
        </is>
      </c>
    </row>
    <row r="2">
      <c r="A2" s="6" t="inlineStr">
        <is>
          <t>①商談・顧客面談</t>
        </is>
      </c>
    </row>
    <row r="3">
      <c r="A3" s="6" t="inlineStr">
        <is>
          <t>②提案書・企画書作成</t>
        </is>
      </c>
    </row>
    <row r="4">
      <c r="A4" s="6" t="inlineStr">
        <is>
          <t>③監修対応</t>
        </is>
      </c>
    </row>
    <row r="5">
      <c r="A5" s="6" t="inlineStr">
        <is>
          <t>④契約・法務対応</t>
        </is>
      </c>
    </row>
    <row r="6">
      <c r="A6" s="6" t="inlineStr">
        <is>
          <t>⑤社内調整・会議</t>
        </is>
      </c>
    </row>
    <row r="7">
      <c r="A7" s="6" t="inlineStr">
        <is>
          <t>⑥素材確認・手配</t>
        </is>
      </c>
    </row>
    <row r="8">
      <c r="A8" s="6" t="inlineStr">
        <is>
          <t>⑦問い合わせ・許諾事務</t>
        </is>
      </c>
    </row>
    <row r="9">
      <c r="A9" s="6" t="inlineStr">
        <is>
          <t>⑧移動</t>
        </is>
      </c>
    </row>
    <row r="10">
      <c r="A10" s="6" t="inlineStr">
        <is>
          <t>⑨新規開拓・情報収集</t>
        </is>
      </c>
    </row>
    <row r="11">
      <c r="A11" s="6" t="inlineStr">
        <is>
          <t>⑩その他管理業務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8" customWidth="1" min="4" max="4"/>
    <col width="20" customWidth="1" min="5" max="5"/>
    <col width="14" customWidth="1" min="6" max="6"/>
    <col width="24" customWidth="1" min="7" max="7"/>
  </cols>
  <sheetData>
    <row r="1">
      <c r="A1" s="7" t="inlineStr">
        <is>
          <t>氏名：</t>
        </is>
      </c>
      <c r="B1" s="8" t="inlineStr">
        <is>
          <t>（入力）</t>
        </is>
      </c>
      <c r="D1" s="7" t="inlineStr">
        <is>
          <t>週開始日（月曜）：</t>
        </is>
      </c>
      <c r="E1" s="8" t="inlineStr">
        <is>
          <t>（入力）</t>
        </is>
      </c>
    </row>
    <row r="3">
      <c r="A3" s="9" t="inlineStr">
        <is>
          <t>日付</t>
        </is>
      </c>
      <c r="B3" s="9" t="inlineStr">
        <is>
          <t>案件ID</t>
        </is>
      </c>
      <c r="C3" s="9" t="inlineStr">
        <is>
          <t>案件名／業務名</t>
        </is>
      </c>
      <c r="D3" s="9" t="inlineStr">
        <is>
          <t>顧客名</t>
        </is>
      </c>
      <c r="E3" s="9" t="inlineStr">
        <is>
          <t>活動分類</t>
        </is>
      </c>
      <c r="F3" s="9" t="inlineStr">
        <is>
          <t>時間(h・0.5単位)</t>
        </is>
      </c>
      <c r="G3" s="9" t="inlineStr">
        <is>
          <t>メモ</t>
        </is>
      </c>
    </row>
    <row r="4">
      <c r="A4" s="10" t="inlineStr">
        <is>
          <t>2026-07-06</t>
        </is>
      </c>
      <c r="B4" s="10" t="inlineStr">
        <is>
          <t>D-0001</t>
        </is>
      </c>
      <c r="C4" s="10" t="inlineStr">
        <is>
          <t>（サンプル）A社 秋商戦MDライン</t>
        </is>
      </c>
      <c r="D4" s="10" t="inlineStr">
        <is>
          <t>玩具メーカーA社</t>
        </is>
      </c>
      <c r="E4" s="10" t="inlineStr">
        <is>
          <t>②提案書・企画書作成</t>
        </is>
      </c>
      <c r="F4" s="10" t="n">
        <v>3.5</v>
      </c>
      <c r="G4" s="10" t="inlineStr">
        <is>
          <t>提案書v2作成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1" t="n"/>
      <c r="B34" s="11" t="n"/>
      <c r="C34" s="11" t="n"/>
      <c r="D34" s="11" t="n"/>
      <c r="E34" s="11" t="n"/>
      <c r="F34" s="11" t="n"/>
      <c r="G34" s="11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1" t="n"/>
      <c r="B36" s="11" t="n"/>
      <c r="C36" s="11" t="n"/>
      <c r="D36" s="11" t="n"/>
      <c r="E36" s="11" t="n"/>
      <c r="F36" s="11" t="n"/>
      <c r="G36" s="11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1" t="n"/>
      <c r="B38" s="11" t="n"/>
      <c r="C38" s="11" t="n"/>
      <c r="D38" s="11" t="n"/>
      <c r="E38" s="11" t="n"/>
      <c r="F38" s="11" t="n"/>
      <c r="G38" s="11" t="n"/>
    </row>
    <row r="39">
      <c r="A39" s="11" t="n"/>
      <c r="B39" s="11" t="n"/>
      <c r="C39" s="11" t="n"/>
      <c r="D39" s="11" t="n"/>
      <c r="E39" s="11" t="n"/>
      <c r="F39" s="11" t="n"/>
      <c r="G39" s="11" t="n"/>
    </row>
    <row r="40">
      <c r="A40" s="11" t="n"/>
      <c r="B40" s="11" t="n"/>
      <c r="C40" s="11" t="n"/>
      <c r="D40" s="11" t="n"/>
      <c r="E40" s="11" t="n"/>
      <c r="F40" s="11" t="n"/>
      <c r="G40" s="11" t="n"/>
    </row>
    <row r="41">
      <c r="A41" s="11" t="n"/>
      <c r="B41" s="11" t="n"/>
      <c r="C41" s="11" t="n"/>
      <c r="D41" s="11" t="n"/>
      <c r="E41" s="11" t="n"/>
      <c r="F41" s="11" t="n"/>
      <c r="G41" s="11" t="n"/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1" t="n"/>
      <c r="B43" s="11" t="n"/>
      <c r="C43" s="11" t="n"/>
      <c r="D43" s="11" t="n"/>
      <c r="E43" s="11" t="n"/>
      <c r="F43" s="11" t="n"/>
      <c r="G43" s="11" t="n"/>
    </row>
    <row r="44">
      <c r="A44" s="11" t="n"/>
      <c r="B44" s="11" t="n"/>
      <c r="C44" s="11" t="n"/>
      <c r="D44" s="11" t="n"/>
      <c r="E44" s="11" t="n"/>
      <c r="F44" s="11" t="n"/>
      <c r="G44" s="11" t="n"/>
    </row>
    <row r="45">
      <c r="A45" s="11" t="n"/>
      <c r="B45" s="11" t="n"/>
      <c r="C45" s="11" t="n"/>
      <c r="D45" s="11" t="n"/>
      <c r="E45" s="11" t="n"/>
      <c r="F45" s="11" t="n"/>
      <c r="G45" s="11" t="n"/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1" t="n"/>
      <c r="B47" s="11" t="n"/>
      <c r="C47" s="11" t="n"/>
      <c r="D47" s="11" t="n"/>
      <c r="E47" s="11" t="n"/>
      <c r="F47" s="11" t="n"/>
      <c r="G47" s="11" t="n"/>
    </row>
    <row r="48">
      <c r="A48" s="11" t="n"/>
      <c r="B48" s="11" t="n"/>
      <c r="C48" s="11" t="n"/>
      <c r="D48" s="11" t="n"/>
      <c r="E48" s="11" t="n"/>
      <c r="F48" s="11" t="n"/>
      <c r="G48" s="11" t="n"/>
    </row>
    <row r="49">
      <c r="A49" s="11" t="n"/>
      <c r="B49" s="11" t="n"/>
      <c r="C49" s="11" t="n"/>
      <c r="D49" s="11" t="n"/>
      <c r="E49" s="11" t="n"/>
      <c r="F49" s="11" t="n"/>
      <c r="G49" s="11" t="n"/>
    </row>
    <row r="50">
      <c r="A50" s="11" t="n"/>
      <c r="B50" s="11" t="n"/>
      <c r="C50" s="11" t="n"/>
      <c r="D50" s="11" t="n"/>
      <c r="E50" s="11" t="n"/>
      <c r="F50" s="11" t="n"/>
      <c r="G50" s="11" t="n"/>
    </row>
    <row r="51">
      <c r="A51" s="11" t="n"/>
      <c r="B51" s="11" t="n"/>
      <c r="C51" s="11" t="n"/>
      <c r="D51" s="11" t="n"/>
      <c r="E51" s="11" t="n"/>
      <c r="F51" s="11" t="n"/>
      <c r="G51" s="11" t="n"/>
    </row>
    <row r="52">
      <c r="A52" s="11" t="n"/>
      <c r="B52" s="11" t="n"/>
      <c r="C52" s="11" t="n"/>
      <c r="D52" s="11" t="n"/>
      <c r="E52" s="11" t="n"/>
      <c r="F52" s="11" t="n"/>
      <c r="G52" s="11" t="n"/>
    </row>
    <row r="53">
      <c r="A53" s="11" t="n"/>
      <c r="B53" s="11" t="n"/>
      <c r="C53" s="11" t="n"/>
      <c r="D53" s="11" t="n"/>
      <c r="E53" s="11" t="n"/>
      <c r="F53" s="11" t="n"/>
      <c r="G53" s="11" t="n"/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1" t="n"/>
      <c r="B55" s="11" t="n"/>
      <c r="C55" s="11" t="n"/>
      <c r="D55" s="11" t="n"/>
      <c r="E55" s="11" t="n"/>
      <c r="F55" s="11" t="n"/>
      <c r="G55" s="11" t="n"/>
    </row>
    <row r="56">
      <c r="A56" s="11" t="n"/>
      <c r="B56" s="11" t="n"/>
      <c r="C56" s="11" t="n"/>
      <c r="D56" s="11" t="n"/>
      <c r="E56" s="11" t="n"/>
      <c r="F56" s="11" t="n"/>
      <c r="G56" s="11" t="n"/>
    </row>
    <row r="57">
      <c r="A57" s="11" t="n"/>
      <c r="B57" s="11" t="n"/>
      <c r="C57" s="11" t="n"/>
      <c r="D57" s="11" t="n"/>
      <c r="E57" s="11" t="n"/>
      <c r="F57" s="11" t="n"/>
      <c r="G57" s="11" t="n"/>
    </row>
    <row r="58">
      <c r="A58" s="11" t="n"/>
      <c r="B58" s="11" t="n"/>
      <c r="C58" s="11" t="n"/>
      <c r="D58" s="11" t="n"/>
      <c r="E58" s="11" t="n"/>
      <c r="F58" s="11" t="n"/>
      <c r="G58" s="11" t="n"/>
    </row>
    <row r="59">
      <c r="A59" s="11" t="n"/>
      <c r="B59" s="11" t="n"/>
      <c r="C59" s="11" t="n"/>
      <c r="D59" s="11" t="n"/>
      <c r="E59" s="11" t="n"/>
      <c r="F59" s="11" t="n"/>
      <c r="G59" s="11" t="n"/>
    </row>
    <row r="60">
      <c r="A60" s="11" t="n"/>
      <c r="B60" s="11" t="n"/>
      <c r="C60" s="11" t="n"/>
      <c r="D60" s="11" t="n"/>
      <c r="E60" s="11" t="n"/>
      <c r="F60" s="11" t="n"/>
      <c r="G60" s="11" t="n"/>
    </row>
    <row r="61">
      <c r="A61" s="11" t="n"/>
      <c r="B61" s="11" t="n"/>
      <c r="C61" s="11" t="n"/>
      <c r="D61" s="11" t="n"/>
      <c r="E61" s="11" t="n"/>
      <c r="F61" s="11" t="n"/>
      <c r="G61" s="11" t="n"/>
    </row>
    <row r="62">
      <c r="A62" s="11" t="n"/>
      <c r="B62" s="11" t="n"/>
      <c r="C62" s="11" t="n"/>
      <c r="D62" s="11" t="n"/>
      <c r="E62" s="11" t="n"/>
      <c r="F62" s="11" t="n"/>
      <c r="G62" s="11" t="n"/>
    </row>
    <row r="63">
      <c r="A63" s="11" t="n"/>
      <c r="B63" s="11" t="n"/>
      <c r="C63" s="11" t="n"/>
      <c r="D63" s="11" t="n"/>
      <c r="E63" s="11" t="n"/>
      <c r="F63" s="11" t="n"/>
      <c r="G63" s="11" t="n"/>
    </row>
    <row r="64">
      <c r="A64" s="11" t="n"/>
      <c r="B64" s="11" t="n"/>
      <c r="C64" s="11" t="n"/>
      <c r="D64" s="11" t="n"/>
      <c r="E64" s="11" t="n"/>
      <c r="F64" s="11" t="n"/>
      <c r="G64" s="11" t="n"/>
    </row>
    <row r="65">
      <c r="A65" s="11" t="n"/>
      <c r="B65" s="11" t="n"/>
      <c r="C65" s="11" t="n"/>
      <c r="D65" s="11" t="n"/>
      <c r="E65" s="11" t="n"/>
      <c r="F65" s="11" t="n"/>
      <c r="G65" s="11" t="n"/>
    </row>
    <row r="66">
      <c r="A66" s="11" t="n"/>
      <c r="B66" s="11" t="n"/>
      <c r="C66" s="11" t="n"/>
      <c r="D66" s="11" t="n"/>
      <c r="E66" s="11" t="n"/>
      <c r="F66" s="11" t="n"/>
      <c r="G66" s="11" t="n"/>
    </row>
    <row r="67">
      <c r="A67" s="11" t="n"/>
      <c r="B67" s="11" t="n"/>
      <c r="C67" s="11" t="n"/>
      <c r="D67" s="11" t="n"/>
      <c r="E67" s="11" t="n"/>
      <c r="F67" s="11" t="n"/>
      <c r="G67" s="11" t="n"/>
    </row>
    <row r="68">
      <c r="A68" s="11" t="n"/>
      <c r="B68" s="11" t="n"/>
      <c r="C68" s="11" t="n"/>
      <c r="D68" s="11" t="n"/>
      <c r="E68" s="11" t="n"/>
      <c r="F68" s="11" t="n"/>
      <c r="G68" s="11" t="n"/>
    </row>
    <row r="69">
      <c r="A69" s="11" t="n"/>
      <c r="B69" s="11" t="n"/>
      <c r="C69" s="11" t="n"/>
      <c r="D69" s="11" t="n"/>
      <c r="E69" s="11" t="n"/>
      <c r="F69" s="11" t="n"/>
      <c r="G69" s="11" t="n"/>
    </row>
    <row r="70">
      <c r="A70" s="11" t="n"/>
      <c r="B70" s="11" t="n"/>
      <c r="C70" s="11" t="n"/>
      <c r="D70" s="11" t="n"/>
      <c r="E70" s="11" t="n"/>
      <c r="F70" s="11" t="n"/>
      <c r="G70" s="11" t="n"/>
    </row>
    <row r="71">
      <c r="A71" s="11" t="n"/>
      <c r="B71" s="11" t="n"/>
      <c r="C71" s="11" t="n"/>
      <c r="D71" s="11" t="n"/>
      <c r="E71" s="11" t="n"/>
      <c r="F71" s="11" t="n"/>
      <c r="G71" s="11" t="n"/>
    </row>
    <row r="72">
      <c r="A72" s="11" t="n"/>
      <c r="B72" s="11" t="n"/>
      <c r="C72" s="11" t="n"/>
      <c r="D72" s="11" t="n"/>
      <c r="E72" s="11" t="n"/>
      <c r="F72" s="11" t="n"/>
      <c r="G72" s="11" t="n"/>
    </row>
    <row r="73">
      <c r="A73" s="11" t="n"/>
      <c r="B73" s="11" t="n"/>
      <c r="C73" s="11" t="n"/>
      <c r="D73" s="11" t="n"/>
      <c r="E73" s="11" t="n"/>
      <c r="F73" s="11" t="n"/>
      <c r="G73" s="11" t="n"/>
    </row>
    <row r="74">
      <c r="A74" s="11" t="n"/>
      <c r="B74" s="11" t="n"/>
      <c r="C74" s="11" t="n"/>
      <c r="D74" s="11" t="n"/>
      <c r="E74" s="11" t="n"/>
      <c r="F74" s="11" t="n"/>
      <c r="G74" s="11" t="n"/>
    </row>
    <row r="75">
      <c r="A75" s="11" t="n"/>
      <c r="B75" s="11" t="n"/>
      <c r="C75" s="11" t="n"/>
      <c r="D75" s="11" t="n"/>
      <c r="E75" s="11" t="n"/>
      <c r="F75" s="11" t="n"/>
      <c r="G75" s="11" t="n"/>
    </row>
    <row r="76">
      <c r="A76" s="11" t="n"/>
      <c r="B76" s="11" t="n"/>
      <c r="C76" s="11" t="n"/>
      <c r="D76" s="11" t="n"/>
      <c r="E76" s="11" t="n"/>
      <c r="F76" s="11" t="n"/>
      <c r="G76" s="11" t="n"/>
    </row>
    <row r="77">
      <c r="A77" s="11" t="n"/>
      <c r="B77" s="11" t="n"/>
      <c r="C77" s="11" t="n"/>
      <c r="D77" s="11" t="n"/>
      <c r="E77" s="11" t="n"/>
      <c r="F77" s="11" t="n"/>
      <c r="G77" s="11" t="n"/>
    </row>
    <row r="78">
      <c r="A78" s="11" t="n"/>
      <c r="B78" s="11" t="n"/>
      <c r="C78" s="11" t="n"/>
      <c r="D78" s="11" t="n"/>
      <c r="E78" s="11" t="n"/>
      <c r="F78" s="11" t="n"/>
      <c r="G78" s="11" t="n"/>
    </row>
    <row r="79">
      <c r="A79" s="11" t="n"/>
      <c r="B79" s="11" t="n"/>
      <c r="C79" s="11" t="n"/>
      <c r="D79" s="11" t="n"/>
      <c r="E79" s="11" t="n"/>
      <c r="F79" s="11" t="n"/>
      <c r="G79" s="11" t="n"/>
    </row>
    <row r="80">
      <c r="A80" s="11" t="n"/>
      <c r="B80" s="11" t="n"/>
      <c r="C80" s="11" t="n"/>
      <c r="D80" s="11" t="n"/>
      <c r="E80" s="11" t="n"/>
      <c r="F80" s="11" t="n"/>
      <c r="G80" s="11" t="n"/>
    </row>
    <row r="81">
      <c r="A81" s="11" t="n"/>
      <c r="B81" s="11" t="n"/>
      <c r="C81" s="11" t="n"/>
      <c r="D81" s="11" t="n"/>
      <c r="E81" s="11" t="n"/>
      <c r="F81" s="11" t="n"/>
      <c r="G81" s="11" t="n"/>
    </row>
    <row r="82">
      <c r="A82" s="11" t="n"/>
      <c r="B82" s="11" t="n"/>
      <c r="C82" s="11" t="n"/>
      <c r="D82" s="11" t="n"/>
      <c r="E82" s="11" t="n"/>
      <c r="F82" s="11" t="n"/>
      <c r="G82" s="11" t="n"/>
    </row>
    <row r="83">
      <c r="A83" s="11" t="n"/>
      <c r="B83" s="11" t="n"/>
      <c r="C83" s="11" t="n"/>
      <c r="D83" s="11" t="n"/>
      <c r="E83" s="11" t="n"/>
      <c r="F83" s="11" t="n"/>
      <c r="G83" s="11" t="n"/>
    </row>
    <row r="84">
      <c r="A84" s="11" t="n"/>
      <c r="B84" s="11" t="n"/>
      <c r="C84" s="11" t="n"/>
      <c r="D84" s="11" t="n"/>
      <c r="E84" s="11" t="n"/>
      <c r="F84" s="11" t="n"/>
      <c r="G84" s="11" t="n"/>
    </row>
    <row r="85">
      <c r="A85" s="11" t="n"/>
      <c r="B85" s="11" t="n"/>
      <c r="C85" s="11" t="n"/>
      <c r="D85" s="11" t="n"/>
      <c r="E85" s="11" t="n"/>
      <c r="F85" s="11" t="n"/>
      <c r="G85" s="11" t="n"/>
    </row>
    <row r="86">
      <c r="A86" s="11" t="n"/>
      <c r="B86" s="11" t="n"/>
      <c r="C86" s="11" t="n"/>
      <c r="D86" s="11" t="n"/>
      <c r="E86" s="11" t="n"/>
      <c r="F86" s="11" t="n"/>
      <c r="G86" s="11" t="n"/>
    </row>
    <row r="87">
      <c r="A87" s="11" t="n"/>
      <c r="B87" s="11" t="n"/>
      <c r="C87" s="11" t="n"/>
      <c r="D87" s="11" t="n"/>
      <c r="E87" s="11" t="n"/>
      <c r="F87" s="11" t="n"/>
      <c r="G87" s="11" t="n"/>
    </row>
    <row r="88">
      <c r="A88" s="11" t="n"/>
      <c r="B88" s="11" t="n"/>
      <c r="C88" s="11" t="n"/>
      <c r="D88" s="11" t="n"/>
      <c r="E88" s="11" t="n"/>
      <c r="F88" s="11" t="n"/>
      <c r="G88" s="11" t="n"/>
    </row>
    <row r="89">
      <c r="A89" s="11" t="n"/>
      <c r="B89" s="11" t="n"/>
      <c r="C89" s="11" t="n"/>
      <c r="D89" s="11" t="n"/>
      <c r="E89" s="11" t="n"/>
      <c r="F89" s="11" t="n"/>
      <c r="G89" s="11" t="n"/>
    </row>
    <row r="90">
      <c r="A90" s="11" t="n"/>
      <c r="B90" s="11" t="n"/>
      <c r="C90" s="11" t="n"/>
      <c r="D90" s="11" t="n"/>
      <c r="E90" s="11" t="n"/>
      <c r="F90" s="11" t="n"/>
      <c r="G90" s="11" t="n"/>
    </row>
    <row r="91">
      <c r="A91" s="11" t="n"/>
      <c r="B91" s="11" t="n"/>
      <c r="C91" s="11" t="n"/>
      <c r="D91" s="11" t="n"/>
      <c r="E91" s="11" t="n"/>
      <c r="F91" s="11" t="n"/>
      <c r="G91" s="11" t="n"/>
    </row>
    <row r="92">
      <c r="A92" s="11" t="n"/>
      <c r="B92" s="11" t="n"/>
      <c r="C92" s="11" t="n"/>
      <c r="D92" s="11" t="n"/>
      <c r="E92" s="11" t="n"/>
      <c r="F92" s="11" t="n"/>
      <c r="G92" s="11" t="n"/>
    </row>
    <row r="93">
      <c r="A93" s="11" t="n"/>
      <c r="B93" s="11" t="n"/>
      <c r="C93" s="11" t="n"/>
      <c r="D93" s="11" t="n"/>
      <c r="E93" s="11" t="n"/>
      <c r="F93" s="11" t="n"/>
      <c r="G93" s="11" t="n"/>
    </row>
    <row r="94">
      <c r="A94" s="11" t="n"/>
      <c r="B94" s="11" t="n"/>
      <c r="C94" s="11" t="n"/>
      <c r="D94" s="11" t="n"/>
      <c r="E94" s="11" t="n"/>
      <c r="F94" s="11" t="n"/>
      <c r="G94" s="11" t="n"/>
    </row>
    <row r="95">
      <c r="A95" s="11" t="n"/>
      <c r="B95" s="11" t="n"/>
      <c r="C95" s="11" t="n"/>
      <c r="D95" s="11" t="n"/>
      <c r="E95" s="11" t="n"/>
      <c r="F95" s="11" t="n"/>
      <c r="G95" s="11" t="n"/>
    </row>
    <row r="96">
      <c r="A96" s="11" t="n"/>
      <c r="B96" s="11" t="n"/>
      <c r="C96" s="11" t="n"/>
      <c r="D96" s="11" t="n"/>
      <c r="E96" s="11" t="n"/>
      <c r="F96" s="11" t="n"/>
      <c r="G96" s="11" t="n"/>
    </row>
    <row r="97">
      <c r="A97" s="11" t="n"/>
      <c r="B97" s="11" t="n"/>
      <c r="C97" s="11" t="n"/>
      <c r="D97" s="11" t="n"/>
      <c r="E97" s="11" t="n"/>
      <c r="F97" s="11" t="n"/>
      <c r="G97" s="11" t="n"/>
    </row>
    <row r="98">
      <c r="A98" s="11" t="n"/>
      <c r="B98" s="11" t="n"/>
      <c r="C98" s="11" t="n"/>
      <c r="D98" s="11" t="n"/>
      <c r="E98" s="11" t="n"/>
      <c r="F98" s="11" t="n"/>
      <c r="G98" s="11" t="n"/>
    </row>
    <row r="99">
      <c r="A99" s="11" t="n"/>
      <c r="B99" s="11" t="n"/>
      <c r="C99" s="11" t="n"/>
      <c r="D99" s="11" t="n"/>
      <c r="E99" s="11" t="n"/>
      <c r="F99" s="11" t="n"/>
      <c r="G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</row>
    <row r="104">
      <c r="A104" s="7" t="inlineStr">
        <is>
          <t>週合計</t>
        </is>
      </c>
      <c r="F104" s="12">
        <f>SUM(F4:F103)</f>
        <v/>
      </c>
    </row>
  </sheetData>
  <dataValidations count="1">
    <dataValidation sqref="E4:E103" showDropDown="0" showInputMessage="0" showErrorMessage="0" allowBlank="1" type="list">
      <formula1>'マスタ'!$A$2:$A$11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</cols>
  <sheetData>
    <row r="1">
      <c r="A1" s="1" t="inlineStr">
        <is>
          <t>活動分類別 集計（自動計算）</t>
        </is>
      </c>
    </row>
    <row r="3">
      <c r="A3" s="5" t="inlineStr">
        <is>
          <t>活動分類</t>
        </is>
      </c>
      <c r="B3" s="5" t="inlineStr">
        <is>
          <t>時間合計(h)</t>
        </is>
      </c>
      <c r="C3" s="5" t="inlineStr">
        <is>
          <t>構成比</t>
        </is>
      </c>
    </row>
    <row r="4">
      <c r="A4" s="6">
        <f>'マスタ'!A2</f>
        <v/>
      </c>
      <c r="B4" s="6">
        <f>SUMIF(週次申告!$E$4:$E$103,A4,週次申告!$F$4:$F$103)</f>
        <v/>
      </c>
      <c r="C4" s="13">
        <f>IF($B$14=0,"",B4/$B$14)</f>
        <v/>
      </c>
    </row>
    <row r="5">
      <c r="A5" s="6">
        <f>'マスタ'!A3</f>
        <v/>
      </c>
      <c r="B5" s="6">
        <f>SUMIF(週次申告!$E$4:$E$103,A5,週次申告!$F$4:$F$103)</f>
        <v/>
      </c>
      <c r="C5" s="13">
        <f>IF($B$14=0,"",B5/$B$14)</f>
        <v/>
      </c>
    </row>
    <row r="6">
      <c r="A6" s="6">
        <f>'マスタ'!A4</f>
        <v/>
      </c>
      <c r="B6" s="6">
        <f>SUMIF(週次申告!$E$4:$E$103,A6,週次申告!$F$4:$F$103)</f>
        <v/>
      </c>
      <c r="C6" s="13">
        <f>IF($B$14=0,"",B6/$B$14)</f>
        <v/>
      </c>
    </row>
    <row r="7">
      <c r="A7" s="6">
        <f>'マスタ'!A5</f>
        <v/>
      </c>
      <c r="B7" s="6">
        <f>SUMIF(週次申告!$E$4:$E$103,A7,週次申告!$F$4:$F$103)</f>
        <v/>
      </c>
      <c r="C7" s="13">
        <f>IF($B$14=0,"",B7/$B$14)</f>
        <v/>
      </c>
    </row>
    <row r="8">
      <c r="A8" s="6">
        <f>'マスタ'!A6</f>
        <v/>
      </c>
      <c r="B8" s="6">
        <f>SUMIF(週次申告!$E$4:$E$103,A8,週次申告!$F$4:$F$103)</f>
        <v/>
      </c>
      <c r="C8" s="13">
        <f>IF($B$14=0,"",B8/$B$14)</f>
        <v/>
      </c>
    </row>
    <row r="9">
      <c r="A9" s="6">
        <f>'マスタ'!A7</f>
        <v/>
      </c>
      <c r="B9" s="6">
        <f>SUMIF(週次申告!$E$4:$E$103,A9,週次申告!$F$4:$F$103)</f>
        <v/>
      </c>
      <c r="C9" s="13">
        <f>IF($B$14=0,"",B9/$B$14)</f>
        <v/>
      </c>
    </row>
    <row r="10">
      <c r="A10" s="6">
        <f>'マスタ'!A8</f>
        <v/>
      </c>
      <c r="B10" s="6">
        <f>SUMIF(週次申告!$E$4:$E$103,A10,週次申告!$F$4:$F$103)</f>
        <v/>
      </c>
      <c r="C10" s="13">
        <f>IF($B$14=0,"",B10/$B$14)</f>
        <v/>
      </c>
    </row>
    <row r="11">
      <c r="A11" s="6">
        <f>'マスタ'!A9</f>
        <v/>
      </c>
      <c r="B11" s="6">
        <f>SUMIF(週次申告!$E$4:$E$103,A11,週次申告!$F$4:$F$103)</f>
        <v/>
      </c>
      <c r="C11" s="13">
        <f>IF($B$14=0,"",B11/$B$14)</f>
        <v/>
      </c>
    </row>
    <row r="12">
      <c r="A12" s="6">
        <f>'マスタ'!A10</f>
        <v/>
      </c>
      <c r="B12" s="6">
        <f>SUMIF(週次申告!$E$4:$E$103,A12,週次申告!$F$4:$F$103)</f>
        <v/>
      </c>
      <c r="C12" s="13">
        <f>IF($B$14=0,"",B12/$B$14)</f>
        <v/>
      </c>
    </row>
    <row r="13">
      <c r="A13" s="6">
        <f>'マスタ'!A11</f>
        <v/>
      </c>
      <c r="B13" s="6">
        <f>SUMIF(週次申告!$E$4:$E$103,A13,週次申告!$F$4:$F$103)</f>
        <v/>
      </c>
      <c r="C13" s="13">
        <f>IF($B$14=0,"",B13/$B$14)</f>
        <v/>
      </c>
    </row>
    <row r="14">
      <c r="A14" s="7" t="inlineStr">
        <is>
          <t>合計</t>
        </is>
      </c>
      <c r="B14" s="12">
        <f>SUM(B4:B13)</f>
        <v/>
      </c>
    </row>
    <row r="16">
      <c r="A16" s="12" t="inlineStr">
        <is>
          <t>顧客対面・開拓時間の比率（①＋⑨）</t>
        </is>
      </c>
      <c r="B16" s="14">
        <f>IF(B14=0,"",(B4+B12)/B14)</f>
        <v/>
      </c>
    </row>
    <row r="17">
      <c r="A17" s="12" t="inlineStr">
        <is>
          <t>監修・契約・社内調整の比率（③＋④＋⑤）</t>
        </is>
      </c>
      <c r="B17" s="14">
        <f>IF(B14=0,"",(B6+B7+B8)/B14)</f>
        <v/>
      </c>
    </row>
    <row r="19">
      <c r="A19" s="1" t="inlineStr">
        <is>
          <t>案件別 集計（案件IDを入力すると自動計算）</t>
        </is>
      </c>
    </row>
    <row r="20">
      <c r="A20" s="5" t="inlineStr">
        <is>
          <t>案件ID</t>
        </is>
      </c>
      <c r="B20" s="5" t="inlineStr">
        <is>
          <t>時間合計(h)</t>
        </is>
      </c>
    </row>
    <row r="21">
      <c r="A21" s="6" t="n"/>
      <c r="B21" s="6">
        <f>IF(A21="","",SUMIF(週次申告!$B$4:$B$103,A21,週次申告!$F$4:$F$103))</f>
        <v/>
      </c>
    </row>
    <row r="22">
      <c r="A22" s="6" t="n"/>
      <c r="B22" s="6">
        <f>IF(A22="","",SUMIF(週次申告!$B$4:$B$103,A22,週次申告!$F$4:$F$103))</f>
        <v/>
      </c>
    </row>
    <row r="23">
      <c r="A23" s="6" t="n"/>
      <c r="B23" s="6">
        <f>IF(A23="","",SUMIF(週次申告!$B$4:$B$103,A23,週次申告!$F$4:$F$103))</f>
        <v/>
      </c>
    </row>
    <row r="24">
      <c r="A24" s="6" t="n"/>
      <c r="B24" s="6">
        <f>IF(A24="","",SUMIF(週次申告!$B$4:$B$103,A24,週次申告!$F$4:$F$103))</f>
        <v/>
      </c>
    </row>
    <row r="25">
      <c r="A25" s="6" t="n"/>
      <c r="B25" s="6">
        <f>IF(A25="","",SUMIF(週次申告!$B$4:$B$103,A25,週次申告!$F$4:$F$103))</f>
        <v/>
      </c>
    </row>
    <row r="26">
      <c r="A26" s="6" t="n"/>
      <c r="B26" s="6">
        <f>IF(A26="","",SUMIF(週次申告!$B$4:$B$103,A26,週次申告!$F$4:$F$103))</f>
        <v/>
      </c>
    </row>
    <row r="27">
      <c r="A27" s="6" t="n"/>
      <c r="B27" s="6">
        <f>IF(A27="","",SUMIF(週次申告!$B$4:$B$103,A27,週次申告!$F$4:$F$103))</f>
        <v/>
      </c>
    </row>
    <row r="28">
      <c r="A28" s="6" t="n"/>
      <c r="B28" s="6">
        <f>IF(A28="","",SUMIF(週次申告!$B$4:$B$103,A28,週次申告!$F$4:$F$103))</f>
        <v/>
      </c>
    </row>
    <row r="29">
      <c r="A29" s="6" t="n"/>
      <c r="B29" s="6">
        <f>IF(A29="","",SUMIF(週次申告!$B$4:$B$103,A29,週次申告!$F$4:$F$103))</f>
        <v/>
      </c>
    </row>
    <row r="30">
      <c r="A30" s="6" t="n"/>
      <c r="B30" s="6">
        <f>IF(A30="","",SUMIF(週次申告!$B$4:$B$103,A30,週次申告!$F$4:$F$103))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2026-07-04T09:55:45Z</dcterms:created>
  <dcterms:modified xmlns:dcterms="http://purl.org/dc/terms/" xmlns:xsi="http://www.w3.org/2001/XMLSchema-instance" xsi:type="dcterms:W3CDTF">2026-07-04T09:55:45Z</dcterms:modified>
</cp:coreProperties>
</file>