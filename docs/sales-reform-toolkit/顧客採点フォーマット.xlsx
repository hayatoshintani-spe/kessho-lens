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軸の定義" sheetId="2" state="visible" r:id="rId4"/>
    <sheet name="採点シート"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<sst xmlns="http://schemas.openxmlformats.org/spreadsheetml/2006/main" count="79" uniqueCount="76">
  <si>
    <t xml:space="preserve">顧客採点フォーマット（分科会検討用ドラフト）</t>
  </si>
  <si>
    <t xml:space="preserve">■ 位置づけ</t>
  </si>
  <si>
    <r>
      <rPr>
        <sz val="10"/>
        <color rgb="FF222222"/>
        <rFont val="Noto Sans CJK SC"/>
        <family val="2"/>
      </rPr>
      <t xml:space="preserve">顧客の統合ランク（</t>
    </r>
    <r>
      <rPr>
        <sz val="10"/>
        <color rgb="FF222222"/>
        <rFont val="ＭＳ ゴシック"/>
        <family val="0"/>
        <charset val="1"/>
      </rPr>
      <t xml:space="preserve">S/A/B/C</t>
    </r>
    <r>
      <rPr>
        <sz val="10"/>
        <color rgb="FF222222"/>
        <rFont val="Noto Sans CJK SC"/>
        <family val="2"/>
      </rPr>
      <t xml:space="preserve">）を決めるための採点表です。ここで出たランクを「重点顧客フォーマット」のランク列に転記します。</t>
    </r>
  </si>
  <si>
    <r>
      <rPr>
        <sz val="10"/>
        <color rgb="FF222222"/>
        <rFont val="ＭＳ ゴシック"/>
        <family val="0"/>
        <charset val="1"/>
      </rPr>
      <t xml:space="preserve">5</t>
    </r>
    <r>
      <rPr>
        <sz val="10"/>
        <color rgb="FF222222"/>
        <rFont val="Noto Sans CJK SC"/>
        <family val="2"/>
      </rPr>
      <t xml:space="preserve">つの軸・重み・ランクの線引きは仮置きです。ライセンス営業改革分科会で議論して確定してください（黄色いセルが調整箇所）。</t>
    </r>
  </si>
  <si>
    <r>
      <rPr>
        <b val="true"/>
        <sz val="10"/>
        <color rgb="FF222222"/>
        <rFont val="Noto Sans CJK SC"/>
        <family val="2"/>
      </rPr>
      <t xml:space="preserve">■ 採点のルール（</t>
    </r>
    <r>
      <rPr>
        <b val="true"/>
        <sz val="10"/>
        <color rgb="FF222222"/>
        <rFont val="ＭＳ ゴシック"/>
        <family val="0"/>
        <charset val="1"/>
      </rPr>
      <t xml:space="preserve">3</t>
    </r>
    <r>
      <rPr>
        <b val="true"/>
        <sz val="10"/>
        <color rgb="FF222222"/>
        <rFont val="Noto Sans CJK SC"/>
        <family val="2"/>
      </rPr>
      <t xml:space="preserve">つ）</t>
    </r>
  </si>
  <si>
    <r>
      <rPr>
        <sz val="10"/>
        <color rgb="FF222222"/>
        <rFont val="ＭＳ ゴシック"/>
        <family val="0"/>
        <charset val="1"/>
      </rPr>
      <t xml:space="preserve">1. </t>
    </r>
    <r>
      <rPr>
        <sz val="10"/>
        <color rgb="FF222222"/>
        <rFont val="Noto Sans CJK SC"/>
        <family val="2"/>
      </rPr>
      <t xml:space="preserve">事実で採点する。各軸</t>
    </r>
    <r>
      <rPr>
        <sz val="10"/>
        <color rgb="FF222222"/>
        <rFont val="ＭＳ ゴシック"/>
        <family val="0"/>
        <charset val="1"/>
      </rPr>
      <t xml:space="preserve">1</t>
    </r>
    <r>
      <rPr>
        <sz val="10"/>
        <color rgb="FF222222"/>
        <rFont val="Noto Sans CJK SC"/>
        <family val="2"/>
      </rPr>
      <t xml:space="preserve">〜</t>
    </r>
    <r>
      <rPr>
        <sz val="10"/>
        <color rgb="FF222222"/>
        <rFont val="ＭＳ ゴシック"/>
        <family val="0"/>
        <charset val="1"/>
      </rPr>
      <t xml:space="preserve">5</t>
    </r>
    <r>
      <rPr>
        <sz val="10"/>
        <color rgb="FF222222"/>
        <rFont val="Noto Sans CJK SC"/>
        <family val="2"/>
      </rPr>
      <t xml:space="preserve">点。判断に迷ったら「軸の定義」シートの基準に戻る</t>
    </r>
  </si>
  <si>
    <r>
      <rPr>
        <sz val="10"/>
        <color rgb="FF222222"/>
        <rFont val="ＭＳ ゴシック"/>
        <family val="0"/>
        <charset val="1"/>
      </rPr>
      <t xml:space="preserve">2. </t>
    </r>
    <r>
      <rPr>
        <sz val="10"/>
        <color rgb="FF222222"/>
        <rFont val="Noto Sans CJK SC"/>
        <family val="2"/>
      </rPr>
      <t xml:space="preserve">担当者の姿勢・人間関係などの主観は「参考情報」列に書く。点数には入れない</t>
    </r>
  </si>
  <si>
    <r>
      <rPr>
        <sz val="10"/>
        <color rgb="FF222222"/>
        <rFont val="ＭＳ ゴシック"/>
        <family val="0"/>
        <charset val="1"/>
      </rPr>
      <t xml:space="preserve">3. </t>
    </r>
    <r>
      <rPr>
        <sz val="10"/>
        <color rgb="FF222222"/>
        <rFont val="Noto Sans CJK SC"/>
        <family val="2"/>
      </rPr>
      <t xml:space="preserve">与信の不安は点数を下げるのではなく「与信フラグ」を立てる（価値の評価とリスクの管理を混ぜない）</t>
    </r>
  </si>
  <si>
    <t xml:space="preserve">■ 手順</t>
  </si>
  <si>
    <r>
      <rPr>
        <sz val="10"/>
        <color rgb="FF222222"/>
        <rFont val="Noto Sans CJK SC"/>
        <family val="2"/>
      </rPr>
      <t xml:space="preserve">・「採点シート」に</t>
    </r>
    <r>
      <rPr>
        <sz val="10"/>
        <color rgb="FF222222"/>
        <rFont val="ＭＳ ゴシック"/>
        <family val="0"/>
        <charset val="1"/>
      </rPr>
      <t xml:space="preserve">1</t>
    </r>
    <r>
      <rPr>
        <sz val="10"/>
        <color rgb="FF222222"/>
        <rFont val="Noto Sans CJK SC"/>
        <family val="2"/>
      </rPr>
      <t xml:space="preserve">行</t>
    </r>
    <r>
      <rPr>
        <sz val="10"/>
        <color rgb="FF222222"/>
        <rFont val="ＭＳ ゴシック"/>
        <family val="0"/>
        <charset val="1"/>
      </rPr>
      <t xml:space="preserve">1</t>
    </r>
    <r>
      <rPr>
        <sz val="10"/>
        <color rgb="FF222222"/>
        <rFont val="Noto Sans CJK SC"/>
        <family val="2"/>
      </rPr>
      <t xml:space="preserve">顧客で入力。</t>
    </r>
    <r>
      <rPr>
        <sz val="10"/>
        <color rgb="FF222222"/>
        <rFont val="ＭＳ ゴシック"/>
        <family val="0"/>
        <charset val="1"/>
      </rPr>
      <t xml:space="preserve">5</t>
    </r>
    <r>
      <rPr>
        <sz val="10"/>
        <color rgb="FF222222"/>
        <rFont val="Noto Sans CJK SC"/>
        <family val="2"/>
      </rPr>
      <t xml:space="preserve">軸を埋めると総合点とランクが自動で出ます</t>
    </r>
  </si>
  <si>
    <r>
      <rPr>
        <sz val="10"/>
        <color rgb="FF222222"/>
        <rFont val="Noto Sans CJK SC"/>
        <family val="2"/>
      </rPr>
      <t xml:space="preserve">・まず</t>
    </r>
    <r>
      <rPr>
        <sz val="10"/>
        <color rgb="FF222222"/>
        <rFont val="ＭＳ ゴシック"/>
        <family val="0"/>
        <charset val="1"/>
      </rPr>
      <t xml:space="preserve">140</t>
    </r>
    <r>
      <rPr>
        <sz val="10"/>
        <color rgb="FF222222"/>
        <rFont val="Noto Sans CJK SC"/>
        <family val="2"/>
      </rPr>
      <t xml:space="preserve">社（成岡さん資料）の上位から。財務ひも付けが済んだら①の根拠をグロス→粗利に置き換えます</t>
    </r>
  </si>
  <si>
    <t xml:space="preserve">・ランク確定後、重点顧客フォーマットへ転記し、次のアクションと期限を必ず付けます</t>
  </si>
  <si>
    <r>
      <rPr>
        <sz val="9"/>
        <color rgb="FF8A8A8A"/>
        <rFont val="Noto Sans CJK SC"/>
        <family val="2"/>
      </rPr>
      <t xml:space="preserve">お問い合わせ：営業改革推進室（</t>
    </r>
    <r>
      <rPr>
        <sz val="9"/>
        <color rgb="FF8A8A8A"/>
        <rFont val="ＭＳ ゴシック"/>
        <family val="0"/>
        <charset val="1"/>
      </rPr>
      <t xml:space="preserve">STO</t>
    </r>
    <r>
      <rPr>
        <sz val="9"/>
        <color rgb="FF8A8A8A"/>
        <rFont val="Noto Sans CJK SC"/>
        <family val="2"/>
      </rPr>
      <t xml:space="preserve">）小沢／新谷</t>
    </r>
  </si>
  <si>
    <r>
      <rPr>
        <b val="true"/>
        <sz val="10"/>
        <color rgb="FF222222"/>
        <rFont val="ＭＳ ゴシック"/>
        <family val="0"/>
        <charset val="1"/>
      </rPr>
      <t xml:space="preserve">5</t>
    </r>
    <r>
      <rPr>
        <b val="true"/>
        <sz val="10"/>
        <color rgb="FF222222"/>
        <rFont val="Noto Sans CJK SC"/>
        <family val="2"/>
      </rPr>
      <t xml:space="preserve">軸の採点基準（分科会で確定するまでの仮置き）</t>
    </r>
  </si>
  <si>
    <t xml:space="preserve">軸</t>
  </si>
  <si>
    <r>
      <rPr>
        <b val="true"/>
        <sz val="10"/>
        <color rgb="FF222222"/>
        <rFont val="ＭＳ ゴシック"/>
        <family val="0"/>
        <charset val="1"/>
      </rPr>
      <t xml:space="preserve">5</t>
    </r>
    <r>
      <rPr>
        <b val="true"/>
        <sz val="10"/>
        <color rgb="FF222222"/>
        <rFont val="Noto Sans CJK SC"/>
        <family val="2"/>
      </rPr>
      <t xml:space="preserve">点</t>
    </r>
  </si>
  <si>
    <r>
      <rPr>
        <b val="true"/>
        <sz val="10"/>
        <color rgb="FF222222"/>
        <rFont val="ＭＳ ゴシック"/>
        <family val="0"/>
        <charset val="1"/>
      </rPr>
      <t xml:space="preserve">4</t>
    </r>
    <r>
      <rPr>
        <b val="true"/>
        <sz val="10"/>
        <color rgb="FF222222"/>
        <rFont val="Noto Sans CJK SC"/>
        <family val="2"/>
      </rPr>
      <t xml:space="preserve">点</t>
    </r>
  </si>
  <si>
    <r>
      <rPr>
        <b val="true"/>
        <sz val="10"/>
        <color rgb="FF222222"/>
        <rFont val="ＭＳ ゴシック"/>
        <family val="0"/>
        <charset val="1"/>
      </rPr>
      <t xml:space="preserve">3</t>
    </r>
    <r>
      <rPr>
        <b val="true"/>
        <sz val="10"/>
        <color rgb="FF222222"/>
        <rFont val="Noto Sans CJK SC"/>
        <family val="2"/>
      </rPr>
      <t xml:space="preserve">点</t>
    </r>
  </si>
  <si>
    <r>
      <rPr>
        <b val="true"/>
        <sz val="10"/>
        <color rgb="FF222222"/>
        <rFont val="ＭＳ ゴシック"/>
        <family val="0"/>
        <charset val="1"/>
      </rPr>
      <t xml:space="preserve">2</t>
    </r>
    <r>
      <rPr>
        <b val="true"/>
        <sz val="10"/>
        <color rgb="FF222222"/>
        <rFont val="Noto Sans CJK SC"/>
        <family val="2"/>
      </rPr>
      <t xml:space="preserve">点</t>
    </r>
  </si>
  <si>
    <r>
      <rPr>
        <b val="true"/>
        <sz val="10"/>
        <color rgb="FF222222"/>
        <rFont val="ＭＳ ゴシック"/>
        <family val="0"/>
        <charset val="1"/>
      </rPr>
      <t xml:space="preserve">1</t>
    </r>
    <r>
      <rPr>
        <b val="true"/>
        <sz val="10"/>
        <color rgb="FF222222"/>
        <rFont val="Noto Sans CJK SC"/>
        <family val="2"/>
      </rPr>
      <t xml:space="preserve">点</t>
    </r>
  </si>
  <si>
    <t xml:space="preserve">①取引実績（粗利）</t>
  </si>
  <si>
    <r>
      <rPr>
        <sz val="10"/>
        <color rgb="FF222222"/>
        <rFont val="Noto Sans CJK SC"/>
        <family val="2"/>
      </rPr>
      <t xml:space="preserve">粗利が全顧客の上位</t>
    </r>
    <r>
      <rPr>
        <sz val="10"/>
        <color rgb="FF222222"/>
        <rFont val="ＭＳ ゴシック"/>
        <family val="0"/>
        <charset val="1"/>
      </rPr>
      <t xml:space="preserve">10%</t>
    </r>
  </si>
  <si>
    <r>
      <rPr>
        <sz val="10"/>
        <color rgb="FF222222"/>
        <rFont val="Noto Sans CJK SC"/>
        <family val="2"/>
      </rPr>
      <t xml:space="preserve">上位</t>
    </r>
    <r>
      <rPr>
        <sz val="10"/>
        <color rgb="FF222222"/>
        <rFont val="ＭＳ ゴシック"/>
        <family val="0"/>
        <charset val="1"/>
      </rPr>
      <t xml:space="preserve">25%</t>
    </r>
  </si>
  <si>
    <r>
      <rPr>
        <sz val="10"/>
        <color rgb="FF222222"/>
        <rFont val="Noto Sans CJK SC"/>
        <family val="2"/>
      </rPr>
      <t xml:space="preserve">上位</t>
    </r>
    <r>
      <rPr>
        <sz val="10"/>
        <color rgb="FF222222"/>
        <rFont val="ＭＳ ゴシック"/>
        <family val="0"/>
        <charset val="1"/>
      </rPr>
      <t xml:space="preserve">50%</t>
    </r>
  </si>
  <si>
    <r>
      <rPr>
        <sz val="10"/>
        <color rgb="FF222222"/>
        <rFont val="Noto Sans CJK SC"/>
        <family val="2"/>
      </rPr>
      <t xml:space="preserve">上位</t>
    </r>
    <r>
      <rPr>
        <sz val="10"/>
        <color rgb="FF222222"/>
        <rFont val="ＭＳ ゴシック"/>
        <family val="0"/>
        <charset val="1"/>
      </rPr>
      <t xml:space="preserve">75%</t>
    </r>
  </si>
  <si>
    <t xml:space="preserve">それ以下（少額・スポット）</t>
  </si>
  <si>
    <t xml:space="preserve">②成長性</t>
  </si>
  <si>
    <r>
      <rPr>
        <sz val="10"/>
        <color rgb="FF222222"/>
        <rFont val="Noto Sans CJK SC"/>
        <family val="2"/>
      </rPr>
      <t xml:space="preserve">直近</t>
    </r>
    <r>
      <rPr>
        <sz val="10"/>
        <color rgb="FF222222"/>
        <rFont val="ＭＳ ゴシック"/>
        <family val="0"/>
        <charset val="1"/>
      </rPr>
      <t xml:space="preserve">3</t>
    </r>
    <r>
      <rPr>
        <sz val="10"/>
        <color rgb="FF222222"/>
        <rFont val="Noto Sans CJK SC"/>
        <family val="2"/>
      </rPr>
      <t xml:space="preserve">年連続で成長</t>
    </r>
  </si>
  <si>
    <r>
      <rPr>
        <sz val="10"/>
        <color rgb="FF222222"/>
        <rFont val="ＭＳ ゴシック"/>
        <family val="0"/>
        <charset val="1"/>
      </rPr>
      <t xml:space="preserve">6</t>
    </r>
    <r>
      <rPr>
        <sz val="10"/>
        <color rgb="FF222222"/>
        <rFont val="Noto Sans CJK SC"/>
        <family val="2"/>
      </rPr>
      <t xml:space="preserve">年トレンドが右肩上がり</t>
    </r>
  </si>
  <si>
    <t xml:space="preserve">横ばいで安定</t>
  </si>
  <si>
    <t xml:space="preserve">緩やかに減少</t>
  </si>
  <si>
    <t xml:space="preserve">大きく減少・休眠</t>
  </si>
  <si>
    <r>
      <rPr>
        <b val="true"/>
        <sz val="10"/>
        <color rgb="FF222222"/>
        <rFont val="ＭＳ ゴシック"/>
        <family val="0"/>
        <charset val="1"/>
      </rPr>
      <t xml:space="preserve">③IP</t>
    </r>
    <r>
      <rPr>
        <b val="true"/>
        <sz val="10"/>
        <color rgb="FF222222"/>
        <rFont val="Noto Sans CJK SC"/>
        <family val="2"/>
      </rPr>
      <t xml:space="preserve">適合</t>
    </r>
  </si>
  <si>
    <t xml:space="preserve">ブランド方針と完全に合致し旗艦になり得る</t>
  </si>
  <si>
    <t xml:space="preserve">主要カテゴリで合致</t>
  </si>
  <si>
    <t xml:space="preserve">支障はない</t>
  </si>
  <si>
    <t xml:space="preserve">一部にブランド上の懸念</t>
  </si>
  <si>
    <t xml:space="preserve">方針と不整合</t>
  </si>
  <si>
    <r>
      <rPr>
        <b val="true"/>
        <sz val="10"/>
        <color rgb="FF222222"/>
        <rFont val="ＭＳ ゴシック"/>
        <family val="0"/>
        <charset val="1"/>
      </rPr>
      <t xml:space="preserve">④CRM</t>
    </r>
    <r>
      <rPr>
        <b val="true"/>
        <sz val="10"/>
        <color rgb="FF222222"/>
        <rFont val="Noto Sans CJK SC"/>
        <family val="2"/>
      </rPr>
      <t xml:space="preserve">・</t>
    </r>
    <r>
      <rPr>
        <b val="true"/>
        <sz val="10"/>
        <color rgb="FF222222"/>
        <rFont val="ＭＳ ゴシック"/>
        <family val="0"/>
        <charset val="1"/>
      </rPr>
      <t xml:space="preserve">D2C</t>
    </r>
    <r>
      <rPr>
        <b val="true"/>
        <sz val="10"/>
        <color rgb="FF222222"/>
        <rFont val="Noto Sans CJK SC"/>
        <family val="2"/>
      </rPr>
      <t xml:space="preserve">価値</t>
    </r>
  </si>
  <si>
    <r>
      <rPr>
        <sz val="10"/>
        <color rgb="FF222222"/>
        <rFont val="ＭＳ ゴシック"/>
        <family val="0"/>
        <charset val="1"/>
      </rPr>
      <t xml:space="preserve">ID</t>
    </r>
    <r>
      <rPr>
        <sz val="10"/>
        <color rgb="FF222222"/>
        <rFont val="Noto Sans CJK SC"/>
        <family val="2"/>
      </rPr>
      <t xml:space="preserve">・会員獲得への送客が実証済み</t>
    </r>
  </si>
  <si>
    <t xml:space="preserve">送客の仕組みがある</t>
  </si>
  <si>
    <t xml:space="preserve">接点はあるがデータ未接続</t>
  </si>
  <si>
    <t xml:space="preserve">接点が薄い</t>
  </si>
  <si>
    <t xml:space="preserve">接点なし</t>
  </si>
  <si>
    <t xml:space="preserve">⑤海外価値</t>
  </si>
  <si>
    <t xml:space="preserve">複数地域で展開実績</t>
  </si>
  <si>
    <r>
      <rPr>
        <sz val="10"/>
        <color rgb="FF222222"/>
        <rFont val="ＭＳ ゴシック"/>
        <family val="0"/>
        <charset val="1"/>
      </rPr>
      <t xml:space="preserve">1</t>
    </r>
    <r>
      <rPr>
        <sz val="10"/>
        <color rgb="FF222222"/>
        <rFont val="Noto Sans CJK SC"/>
        <family val="2"/>
      </rPr>
      <t xml:space="preserve">地域で実績</t>
    </r>
  </si>
  <si>
    <t xml:space="preserve">具体的な計画あり</t>
  </si>
  <si>
    <t xml:space="preserve">可能性の議論段階</t>
  </si>
  <si>
    <t xml:space="preserve">想定なし</t>
  </si>
  <si>
    <t xml:space="preserve">※ ①はグロスではなく粗利。財務ひも付けが済むまでは作品別実効率でグロスから換算した概算で仮置きする</t>
  </si>
  <si>
    <r>
      <rPr>
        <sz val="9"/>
        <color rgb="FF8A8A8A"/>
        <rFont val="Noto Sans CJK SC"/>
        <family val="2"/>
      </rPr>
      <t xml:space="preserve">※ 閾値（上位◯</t>
    </r>
    <r>
      <rPr>
        <sz val="9"/>
        <color rgb="FF8A8A8A"/>
        <rFont val="ＭＳ ゴシック"/>
        <family val="0"/>
        <charset val="1"/>
      </rPr>
      <t xml:space="preserve">%</t>
    </r>
    <r>
      <rPr>
        <sz val="9"/>
        <color rgb="FF8A8A8A"/>
        <rFont val="Noto Sans CJK SC"/>
        <family val="2"/>
      </rPr>
      <t xml:space="preserve">）は運用開始後、実データのパーセンタイルに連動させて見直す</t>
    </r>
  </si>
  <si>
    <r>
      <rPr>
        <b val="true"/>
        <sz val="10"/>
        <color rgb="FF222222"/>
        <rFont val="Noto Sans CJK SC"/>
        <family val="2"/>
      </rPr>
      <t xml:space="preserve">顧客採点シート（</t>
    </r>
    <r>
      <rPr>
        <b val="true"/>
        <sz val="10"/>
        <color rgb="FF222222"/>
        <rFont val="ＭＳ ゴシック"/>
        <family val="0"/>
        <charset val="1"/>
      </rPr>
      <t xml:space="preserve">1</t>
    </r>
    <r>
      <rPr>
        <b val="true"/>
        <sz val="10"/>
        <color rgb="FF222222"/>
        <rFont val="Noto Sans CJK SC"/>
        <family val="2"/>
      </rPr>
      <t xml:space="preserve">行＝</t>
    </r>
    <r>
      <rPr>
        <b val="true"/>
        <sz val="10"/>
        <color rgb="FF222222"/>
        <rFont val="ＭＳ ゴシック"/>
        <family val="0"/>
        <charset val="1"/>
      </rPr>
      <t xml:space="preserve">1</t>
    </r>
    <r>
      <rPr>
        <b val="true"/>
        <sz val="10"/>
        <color rgb="FF222222"/>
        <rFont val="Noto Sans CJK SC"/>
        <family val="2"/>
      </rPr>
      <t xml:space="preserve">顧客）</t>
    </r>
  </si>
  <si>
    <t xml:space="preserve">ランクの線引き（総合点）→</t>
  </si>
  <si>
    <r>
      <rPr>
        <b val="true"/>
        <sz val="10"/>
        <color rgb="FF222222"/>
        <rFont val="Noto Sans CJK SC"/>
        <family val="2"/>
      </rPr>
      <t xml:space="preserve">重み（</t>
    </r>
    <r>
      <rPr>
        <b val="true"/>
        <sz val="10"/>
        <color rgb="FF222222"/>
        <rFont val="ＭＳ ゴシック"/>
        <family val="0"/>
        <charset val="1"/>
      </rPr>
      <t xml:space="preserve">%</t>
    </r>
    <r>
      <rPr>
        <b val="true"/>
        <sz val="10"/>
        <color rgb="FF222222"/>
        <rFont val="Noto Sans CJK SC"/>
        <family val="2"/>
      </rPr>
      <t xml:space="preserve">）→</t>
    </r>
  </si>
  <si>
    <r>
      <rPr>
        <sz val="9"/>
        <color rgb="FF8A8A8A"/>
        <rFont val="Noto Sans CJK SC"/>
        <family val="2"/>
      </rPr>
      <t xml:space="preserve">←合計</t>
    </r>
    <r>
      <rPr>
        <sz val="9"/>
        <color rgb="FF8A8A8A"/>
        <rFont val="ＭＳ ゴシック"/>
        <family val="0"/>
        <charset val="1"/>
      </rPr>
      <t xml:space="preserve">100</t>
    </r>
    <r>
      <rPr>
        <sz val="9"/>
        <color rgb="FF8A8A8A"/>
        <rFont val="Noto Sans CJK SC"/>
        <family val="2"/>
      </rPr>
      <t xml:space="preserve">に</t>
    </r>
  </si>
  <si>
    <t xml:space="preserve">S≧</t>
  </si>
  <si>
    <r>
      <rPr>
        <sz val="9"/>
        <color rgb="FF8A8A8A"/>
        <rFont val="Noto Sans CJK SC"/>
        <family val="2"/>
      </rPr>
      <t xml:space="preserve">（未満は</t>
    </r>
    <r>
      <rPr>
        <sz val="9"/>
        <color rgb="FF8A8A8A"/>
        <rFont val="ＭＳ ゴシック"/>
        <family val="0"/>
        <charset val="1"/>
      </rPr>
      <t xml:space="preserve">C</t>
    </r>
    <r>
      <rPr>
        <sz val="9"/>
        <color rgb="FF8A8A8A"/>
        <rFont val="Noto Sans CJK SC"/>
        <family val="2"/>
      </rPr>
      <t xml:space="preserve">）</t>
    </r>
  </si>
  <si>
    <r>
      <rPr>
        <sz val="9"/>
        <color rgb="FF8A8A8A"/>
        <rFont val="Noto Sans CJK SC"/>
        <family val="2"/>
      </rPr>
      <t xml:space="preserve">※ 黄色いセル（重み・線引き）は分科会で確定。</t>
    </r>
    <r>
      <rPr>
        <sz val="9"/>
        <color rgb="FF8A8A8A"/>
        <rFont val="ＭＳ ゴシック"/>
        <family val="0"/>
        <charset val="1"/>
      </rPr>
      <t xml:space="preserve">6</t>
    </r>
    <r>
      <rPr>
        <sz val="9"/>
        <color rgb="FF8A8A8A"/>
        <rFont val="Noto Sans CJK SC"/>
        <family val="2"/>
      </rPr>
      <t xml:space="preserve">行目のサンプルを参考に</t>
    </r>
    <r>
      <rPr>
        <sz val="9"/>
        <color rgb="FF8A8A8A"/>
        <rFont val="ＭＳ ゴシック"/>
        <family val="0"/>
        <charset val="1"/>
      </rPr>
      <t xml:space="preserve">7</t>
    </r>
    <r>
      <rPr>
        <sz val="9"/>
        <color rgb="FF8A8A8A"/>
        <rFont val="Noto Sans CJK SC"/>
        <family val="2"/>
      </rPr>
      <t xml:space="preserve">行目から入力</t>
    </r>
  </si>
  <si>
    <t xml:space="preserve">A≧</t>
  </si>
  <si>
    <t xml:space="preserve">B≧</t>
  </si>
  <si>
    <t xml:space="preserve">No</t>
  </si>
  <si>
    <t xml:space="preserve">顧客名</t>
  </si>
  <si>
    <t xml:space="preserve">主担当</t>
  </si>
  <si>
    <t xml:space="preserve">①取引実績
（粗利）</t>
  </si>
  <si>
    <r>
      <rPr>
        <b val="true"/>
        <sz val="10"/>
        <color rgb="FF222222"/>
        <rFont val="ＭＳ ゴシック"/>
        <family val="0"/>
        <charset val="1"/>
      </rPr>
      <t xml:space="preserve">④CRM</t>
    </r>
    <r>
      <rPr>
        <b val="true"/>
        <sz val="10"/>
        <color rgb="FF222222"/>
        <rFont val="Noto Sans CJK SC"/>
        <family val="2"/>
      </rPr>
      <t xml:space="preserve">・
</t>
    </r>
    <r>
      <rPr>
        <b val="true"/>
        <sz val="10"/>
        <color rgb="FF222222"/>
        <rFont val="ＭＳ ゴシック"/>
        <family val="0"/>
        <charset val="1"/>
      </rPr>
      <t xml:space="preserve">D2C</t>
    </r>
    <r>
      <rPr>
        <b val="true"/>
        <sz val="10"/>
        <color rgb="FF222222"/>
        <rFont val="Noto Sans CJK SC"/>
        <family val="2"/>
      </rPr>
      <t xml:space="preserve">価値</t>
    </r>
  </si>
  <si>
    <t xml:space="preserve">総合点</t>
  </si>
  <si>
    <t xml:space="preserve">ランク</t>
  </si>
  <si>
    <t xml:space="preserve">参考情報（主観・採点外）</t>
  </si>
  <si>
    <t xml:space="preserve">与信フラグ</t>
  </si>
  <si>
    <t xml:space="preserve">備考</t>
  </si>
  <si>
    <t xml:space="preserve">例</t>
  </si>
  <si>
    <r>
      <rPr>
        <sz val="10"/>
        <color rgb="FF8A8A8A"/>
        <rFont val="Noto Sans CJK SC"/>
        <family val="2"/>
      </rPr>
      <t xml:space="preserve">玩具メーカー</t>
    </r>
    <r>
      <rPr>
        <sz val="10"/>
        <color rgb="FF8A8A8A"/>
        <rFont val="ＭＳ ゴシック"/>
        <family val="0"/>
        <charset val="1"/>
      </rPr>
      <t xml:space="preserve">A</t>
    </r>
    <r>
      <rPr>
        <sz val="10"/>
        <color rgb="FF8A8A8A"/>
        <rFont val="Noto Sans CJK SC"/>
        <family val="2"/>
      </rPr>
      <t xml:space="preserve">社</t>
    </r>
  </si>
  <si>
    <t xml:space="preserve">成岡</t>
  </si>
  <si>
    <t xml:space="preserve">窓口の反応が早い（参考）</t>
  </si>
  <si>
    <t xml:space="preserve">OK</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</si>
</sst>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222222"/>
      <name val="Noto Sans CJK SC"/>
      <family val="2"/>
    </font>
    <font>
      <sz val="10"/>
      <color rgb="FF222222"/>
      <name val="ＭＳ ゴシック"/>
      <family val="0"/>
      <charset val="1"/>
    </font>
    <font>
      <b val="true"/>
      <sz val="10"/>
      <color rgb="FF222222"/>
      <name val="Noto Sans CJK SC"/>
      <family val="2"/>
    </font>
    <font>
      <sz val="10"/>
      <color rgb="FF222222"/>
      <name val="Noto Sans CJK SC"/>
      <family val="2"/>
    </font>
    <font>
      <b val="true"/>
      <sz val="10"/>
      <color rgb="FF222222"/>
      <name val="ＭＳ ゴシック"/>
      <family val="0"/>
      <charset val="1"/>
    </font>
    <font>
      <sz val="9"/>
      <color rgb="FF8A8A8A"/>
      <name val="Noto Sans CJK SC"/>
      <family val="2"/>
    </font>
    <font>
      <sz val="9"/>
      <color rgb="FF8A8A8A"/>
      <name val="ＭＳ ゴシック"/>
      <family val="0"/>
      <charset val="1"/>
    </font>
    <font>
      <sz val="10"/>
      <color rgb="FF8A8A8A"/>
      <name val="Noto Sans CJK SC"/>
      <family val="2"/>
    </font>
    <font>
      <sz val="10"/>
      <color rgb="FF8A8A8A"/>
      <name val="ＭＳ ゴシック"/>
      <family val="0"/>
      <charset val="1"/>
    </font>
  </fonts>
  <fills count="4">
    <fill>
      <patternFill patternType="none"/>
    </fill>
    <fill>
      <patternFill patternType="gray125"/>
    </fill>
    <fill>
      <patternFill patternType="solid">
        <fgColor rgb="FFF2F0EE"/>
        <bgColor rgb="FFFFF7CC"/>
      </patternFill>
    </fill>
    <fill>
      <patternFill patternType="solid">
        <fgColor rgb="FFFFF7CC"/>
        <bgColor rgb="FFF2F0EE"/>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0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A8A8A"/>
      <rgbColor rgb="FF9999FF"/>
      <rgbColor rgb="FF993366"/>
      <rgbColor rgb="FFFFF7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4"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15" hidden="false" customHeight="false" outlineLevel="0" collapsed="false">
      <c r="A13" s="4" t="s">
        <v>9</v>
      </c>
    </row>
    <row r="14" customFormat="false" ht="1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2"/>
    </row>
    <row r="17" customFormat="false" ht="14.15" hidden="false" customHeight="false" outlineLevel="0" collapsed="false">
      <c r="A17" s="5"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6" min="2" style="0" width="26"/>
  </cols>
  <sheetData>
    <row r="1" customFormat="false" ht="15" hidden="false" customHeight="false" outlineLevel="0" collapsed="false">
      <c r="A1" s="6" t="s">
        <v>13</v>
      </c>
    </row>
    <row r="3" customFormat="false" ht="15" hidden="false" customHeight="false" outlineLevel="0" collapsed="false">
      <c r="A3" s="7" t="s">
        <v>14</v>
      </c>
      <c r="B3" s="8" t="s">
        <v>15</v>
      </c>
      <c r="C3" s="8" t="s">
        <v>16</v>
      </c>
      <c r="D3" s="8" t="s">
        <v>17</v>
      </c>
      <c r="E3" s="8" t="s">
        <v>18</v>
      </c>
      <c r="F3" s="8" t="s">
        <v>19</v>
      </c>
    </row>
    <row r="4" customFormat="false" ht="15" hidden="false" customHeight="false" outlineLevel="0" collapsed="false">
      <c r="A4" s="9" t="s">
        <v>20</v>
      </c>
      <c r="B4" s="10" t="s">
        <v>21</v>
      </c>
      <c r="C4" s="10" t="s">
        <v>22</v>
      </c>
      <c r="D4" s="10" t="s">
        <v>23</v>
      </c>
      <c r="E4" s="10" t="s">
        <v>24</v>
      </c>
      <c r="F4" s="10" t="s">
        <v>25</v>
      </c>
    </row>
    <row r="5" customFormat="false" ht="15" hidden="false" customHeight="false" outlineLevel="0" collapsed="false">
      <c r="A5" s="9" t="s">
        <v>26</v>
      </c>
      <c r="B5" s="10" t="s">
        <v>27</v>
      </c>
      <c r="C5" s="11" t="s">
        <v>28</v>
      </c>
      <c r="D5" s="10" t="s">
        <v>29</v>
      </c>
      <c r="E5" s="10" t="s">
        <v>30</v>
      </c>
      <c r="F5" s="10" t="s">
        <v>31</v>
      </c>
    </row>
    <row r="6" customFormat="false" ht="29.85" hidden="false" customHeight="false" outlineLevel="0" collapsed="false">
      <c r="A6" s="12" t="s">
        <v>32</v>
      </c>
      <c r="B6" s="10" t="s">
        <v>33</v>
      </c>
      <c r="C6" s="10" t="s">
        <v>34</v>
      </c>
      <c r="D6" s="10" t="s">
        <v>35</v>
      </c>
      <c r="E6" s="10" t="s">
        <v>36</v>
      </c>
      <c r="F6" s="10" t="s">
        <v>37</v>
      </c>
    </row>
    <row r="7" customFormat="false" ht="15" hidden="false" customHeight="false" outlineLevel="0" collapsed="false">
      <c r="A7" s="12" t="s">
        <v>38</v>
      </c>
      <c r="B7" s="11" t="s">
        <v>39</v>
      </c>
      <c r="C7" s="10" t="s">
        <v>40</v>
      </c>
      <c r="D7" s="10" t="s">
        <v>41</v>
      </c>
      <c r="E7" s="10" t="s">
        <v>42</v>
      </c>
      <c r="F7" s="10" t="s">
        <v>43</v>
      </c>
    </row>
    <row r="8" customFormat="false" ht="15" hidden="false" customHeight="false" outlineLevel="0" collapsed="false">
      <c r="A8" s="9" t="s">
        <v>44</v>
      </c>
      <c r="B8" s="10" t="s">
        <v>45</v>
      </c>
      <c r="C8" s="11" t="s">
        <v>46</v>
      </c>
      <c r="D8" s="10" t="s">
        <v>47</v>
      </c>
      <c r="E8" s="10" t="s">
        <v>48</v>
      </c>
      <c r="F8" s="10" t="s">
        <v>49</v>
      </c>
    </row>
    <row r="10" customFormat="false" ht="15" hidden="false" customHeight="false" outlineLevel="0" collapsed="false">
      <c r="A10" s="5" t="s">
        <v>50</v>
      </c>
    </row>
    <row r="11" customFormat="false" ht="15" hidden="false" customHeight="false" outlineLevel="0" collapsed="false">
      <c r="A11" s="5"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0"/>
    <col collapsed="false" customWidth="true" hidden="false" outlineLevel="0" max="8" min="4" style="0" width="11"/>
    <col collapsed="false" customWidth="true" hidden="false" outlineLevel="0" max="9" min="9" style="0" width="9"/>
    <col collapsed="false" customWidth="true" hidden="false" outlineLevel="0" max="10" min="10" style="0" width="8"/>
    <col collapsed="false" customWidth="true" hidden="false" outlineLevel="0" max="11" min="11" style="0" width="26"/>
    <col collapsed="false" customWidth="true" hidden="false" outlineLevel="0" max="12" min="12" style="0" width="10"/>
    <col collapsed="false" customWidth="true" hidden="false" outlineLevel="0" max="13" min="13" style="0" width="18"/>
  </cols>
  <sheetData>
    <row r="1" customFormat="false" ht="15" hidden="false" customHeight="false" outlineLevel="0" collapsed="false">
      <c r="A1" s="3" t="s">
        <v>52</v>
      </c>
      <c r="K1" s="3" t="s">
        <v>53</v>
      </c>
    </row>
    <row r="2" customFormat="false" ht="15" hidden="false" customHeight="false" outlineLevel="0" collapsed="false">
      <c r="C2" s="3" t="s">
        <v>54</v>
      </c>
      <c r="D2" s="13" t="n">
        <v>30</v>
      </c>
      <c r="E2" s="13" t="n">
        <v>20</v>
      </c>
      <c r="F2" s="13" t="n">
        <v>20</v>
      </c>
      <c r="G2" s="13" t="n">
        <v>15</v>
      </c>
      <c r="H2" s="13" t="n">
        <v>15</v>
      </c>
      <c r="I2" s="5" t="n">
        <f aca="false">SUM(D2:H2)</f>
        <v>100</v>
      </c>
      <c r="J2" s="5" t="s">
        <v>55</v>
      </c>
      <c r="K2" s="6" t="s">
        <v>56</v>
      </c>
      <c r="L2" s="14" t="n">
        <v>4.2</v>
      </c>
      <c r="M2" s="5" t="s">
        <v>57</v>
      </c>
    </row>
    <row r="3" customFormat="false" ht="15" hidden="false" customHeight="false" outlineLevel="0" collapsed="false">
      <c r="A3" s="5" t="s">
        <v>58</v>
      </c>
      <c r="K3" s="6" t="s">
        <v>59</v>
      </c>
      <c r="L3" s="14" t="n">
        <v>3.4</v>
      </c>
    </row>
    <row r="4" customFormat="false" ht="15" hidden="false" customHeight="false" outlineLevel="0" collapsed="false">
      <c r="K4" s="6" t="s">
        <v>60</v>
      </c>
      <c r="L4" s="14" t="n">
        <v>2.6</v>
      </c>
    </row>
    <row r="5" customFormat="false" ht="29.85" hidden="false" customHeight="false" outlineLevel="0" collapsed="false">
      <c r="A5" s="8" t="s">
        <v>61</v>
      </c>
      <c r="B5" s="7" t="s">
        <v>62</v>
      </c>
      <c r="C5" s="7" t="s">
        <v>63</v>
      </c>
      <c r="D5" s="7" t="s">
        <v>64</v>
      </c>
      <c r="E5" s="7" t="s">
        <v>26</v>
      </c>
      <c r="F5" s="8" t="s">
        <v>32</v>
      </c>
      <c r="G5" s="8" t="s">
        <v>65</v>
      </c>
      <c r="H5" s="7" t="s">
        <v>44</v>
      </c>
      <c r="I5" s="7" t="s">
        <v>66</v>
      </c>
      <c r="J5" s="7" t="s">
        <v>67</v>
      </c>
      <c r="K5" s="7" t="s">
        <v>68</v>
      </c>
      <c r="L5" s="7" t="s">
        <v>69</v>
      </c>
      <c r="M5" s="7" t="s">
        <v>70</v>
      </c>
    </row>
    <row r="6" customFormat="false" ht="15" hidden="false" customHeight="false" outlineLevel="0" collapsed="false">
      <c r="A6" s="15" t="s">
        <v>71</v>
      </c>
      <c r="B6" s="15" t="s">
        <v>72</v>
      </c>
      <c r="C6" s="15" t="s">
        <v>73</v>
      </c>
      <c r="D6" s="16" t="n">
        <v>5</v>
      </c>
      <c r="E6" s="16" t="n">
        <v>4</v>
      </c>
      <c r="F6" s="16" t="n">
        <v>5</v>
      </c>
      <c r="G6" s="16" t="n">
        <v>3</v>
      </c>
      <c r="H6" s="16" t="n">
        <v>2</v>
      </c>
      <c r="I6" s="15" t="n">
        <f aca="false">IF(COUNT(D6:H6)&lt;5,"",ROUND(SUMPRODUCT(D6:H6,$D$2:$H$2)/100,2))</f>
        <v>4.05</v>
      </c>
      <c r="J6" s="15" t="str">
        <f aca="false">IF(I6="","",IF(I6&gt;=$L$2,"S",IF(I6&gt;=$L$3,"A",IF(I6&gt;=$L$4,"B","C"))))</f>
        <v>A</v>
      </c>
      <c r="K6" s="15" t="s">
        <v>74</v>
      </c>
      <c r="L6" s="16" t="s">
        <v>75</v>
      </c>
      <c r="M6" s="17"/>
    </row>
    <row r="7" customFormat="false" ht="15" hidden="false" customHeight="false" outlineLevel="0" collapsed="false">
      <c r="A7" s="18"/>
      <c r="B7" s="18"/>
      <c r="C7" s="18"/>
      <c r="D7" s="18"/>
      <c r="E7" s="18"/>
      <c r="F7" s="18"/>
      <c r="G7" s="18"/>
      <c r="H7" s="18"/>
      <c r="I7" s="18" t="str">
        <f aca="false">IF(COUNT(D7:H7)&lt;5,"",ROUND(SUMPRODUCT(D7:H7,$D$2:$H$2)/100,2))</f>
        <v/>
      </c>
      <c r="J7" s="18" t="str">
        <f aca="false">IF(I7="","",IF(I7&gt;=$L$2,"S",IF(I7&gt;=$L$3,"A",IF(I7&gt;=$L$4,"B","C"))))</f>
        <v/>
      </c>
      <c r="K7" s="18"/>
      <c r="L7" s="18"/>
      <c r="M7" s="18"/>
    </row>
    <row r="8" customFormat="false" ht="15" hidden="false" customHeight="false" outlineLevel="0" collapsed="false">
      <c r="A8" s="18"/>
      <c r="B8" s="18"/>
      <c r="C8" s="18"/>
      <c r="D8" s="18"/>
      <c r="E8" s="18"/>
      <c r="F8" s="18"/>
      <c r="G8" s="18"/>
      <c r="H8" s="18"/>
      <c r="I8" s="18" t="str">
        <f aca="false">IF(COUNT(D8:H8)&lt;5,"",ROUND(SUMPRODUCT(D8:H8,$D$2:$H$2)/100,2))</f>
        <v/>
      </c>
      <c r="J8" s="18" t="str">
        <f aca="false">IF(I8="","",IF(I8&gt;=$L$2,"S",IF(I8&gt;=$L$3,"A",IF(I8&gt;=$L$4,"B","C"))))</f>
        <v/>
      </c>
      <c r="K8" s="18"/>
      <c r="L8" s="18"/>
      <c r="M8" s="18"/>
    </row>
    <row r="9" customFormat="false" ht="15" hidden="false" customHeight="false" outlineLevel="0" collapsed="false">
      <c r="A9" s="18"/>
      <c r="B9" s="18"/>
      <c r="C9" s="18"/>
      <c r="D9" s="18"/>
      <c r="E9" s="18"/>
      <c r="F9" s="18"/>
      <c r="G9" s="18"/>
      <c r="H9" s="18"/>
      <c r="I9" s="18" t="str">
        <f aca="false">IF(COUNT(D9:H9)&lt;5,"",ROUND(SUMPRODUCT(D9:H9,$D$2:$H$2)/100,2))</f>
        <v/>
      </c>
      <c r="J9" s="18" t="str">
        <f aca="false">IF(I9="","",IF(I9&gt;=$L$2,"S",IF(I9&gt;=$L$3,"A",IF(I9&gt;=$L$4,"B","C"))))</f>
        <v/>
      </c>
      <c r="K9" s="18"/>
      <c r="L9" s="18"/>
      <c r="M9" s="18"/>
    </row>
    <row r="10" customFormat="false" ht="15" hidden="false" customHeight="false" outlineLevel="0" collapsed="false">
      <c r="A10" s="18"/>
      <c r="B10" s="18"/>
      <c r="C10" s="18"/>
      <c r="D10" s="18"/>
      <c r="E10" s="18"/>
      <c r="F10" s="18"/>
      <c r="G10" s="18"/>
      <c r="H10" s="18"/>
      <c r="I10" s="18" t="str">
        <f aca="false">IF(COUNT(D10:H10)&lt;5,"",ROUND(SUMPRODUCT(D10:H10,$D$2:$H$2)/100,2))</f>
        <v/>
      </c>
      <c r="J10" s="18" t="str">
        <f aca="false">IF(I10="","",IF(I10&gt;=$L$2,"S",IF(I10&gt;=$L$3,"A",IF(I10&gt;=$L$4,"B","C"))))</f>
        <v/>
      </c>
      <c r="K10" s="18"/>
      <c r="L10" s="18"/>
      <c r="M10" s="18"/>
    </row>
    <row r="11" customFormat="false" ht="15" hidden="false" customHeight="false" outlineLevel="0" collapsed="false">
      <c r="A11" s="18"/>
      <c r="B11" s="18"/>
      <c r="C11" s="18"/>
      <c r="D11" s="18"/>
      <c r="E11" s="18"/>
      <c r="F11" s="18"/>
      <c r="G11" s="18"/>
      <c r="H11" s="18"/>
      <c r="I11" s="18" t="str">
        <f aca="false">IF(COUNT(D11:H11)&lt;5,"",ROUND(SUMPRODUCT(D11:H11,$D$2:$H$2)/100,2))</f>
        <v/>
      </c>
      <c r="J11" s="18" t="str">
        <f aca="false">IF(I11="","",IF(I11&gt;=$L$2,"S",IF(I11&gt;=$L$3,"A",IF(I11&gt;=$L$4,"B","C"))))</f>
        <v/>
      </c>
      <c r="K11" s="18"/>
      <c r="L11" s="18"/>
      <c r="M11" s="18"/>
    </row>
    <row r="12" customFormat="false" ht="15" hidden="false" customHeight="false" outlineLevel="0" collapsed="false">
      <c r="A12" s="18"/>
      <c r="B12" s="18"/>
      <c r="C12" s="18"/>
      <c r="D12" s="18"/>
      <c r="E12" s="18"/>
      <c r="F12" s="18"/>
      <c r="G12" s="18"/>
      <c r="H12" s="18"/>
      <c r="I12" s="18" t="str">
        <f aca="false">IF(COUNT(D12:H12)&lt;5,"",ROUND(SUMPRODUCT(D12:H12,$D$2:$H$2)/100,2))</f>
        <v/>
      </c>
      <c r="J12" s="18" t="str">
        <f aca="false">IF(I12="","",IF(I12&gt;=$L$2,"S",IF(I12&gt;=$L$3,"A",IF(I12&gt;=$L$4,"B","C"))))</f>
        <v/>
      </c>
      <c r="K12" s="18"/>
      <c r="L12" s="18"/>
      <c r="M12" s="18"/>
    </row>
    <row r="13" customFormat="false" ht="15" hidden="false" customHeight="false" outlineLevel="0" collapsed="false">
      <c r="A13" s="18"/>
      <c r="B13" s="18"/>
      <c r="C13" s="18"/>
      <c r="D13" s="18"/>
      <c r="E13" s="18"/>
      <c r="F13" s="18"/>
      <c r="G13" s="18"/>
      <c r="H13" s="18"/>
      <c r="I13" s="18" t="str">
        <f aca="false">IF(COUNT(D13:H13)&lt;5,"",ROUND(SUMPRODUCT(D13:H13,$D$2:$H$2)/100,2))</f>
        <v/>
      </c>
      <c r="J13" s="18" t="str">
        <f aca="false">IF(I13="","",IF(I13&gt;=$L$2,"S",IF(I13&gt;=$L$3,"A",IF(I13&gt;=$L$4,"B","C"))))</f>
        <v/>
      </c>
      <c r="K13" s="18"/>
      <c r="L13" s="18"/>
      <c r="M13" s="18"/>
    </row>
    <row r="14" customFormat="false" ht="15" hidden="false" customHeight="false" outlineLevel="0" collapsed="false">
      <c r="A14" s="18"/>
      <c r="B14" s="18"/>
      <c r="C14" s="18"/>
      <c r="D14" s="18"/>
      <c r="E14" s="18"/>
      <c r="F14" s="18"/>
      <c r="G14" s="18"/>
      <c r="H14" s="18"/>
      <c r="I14" s="18" t="str">
        <f aca="false">IF(COUNT(D14:H14)&lt;5,"",ROUND(SUMPRODUCT(D14:H14,$D$2:$H$2)/100,2))</f>
        <v/>
      </c>
      <c r="J14" s="18" t="str">
        <f aca="false">IF(I14="","",IF(I14&gt;=$L$2,"S",IF(I14&gt;=$L$3,"A",IF(I14&gt;=$L$4,"B","C"))))</f>
        <v/>
      </c>
      <c r="K14" s="18"/>
      <c r="L14" s="18"/>
      <c r="M14" s="18"/>
    </row>
    <row r="15" customFormat="false" ht="15" hidden="false" customHeight="false" outlineLevel="0" collapsed="false">
      <c r="A15" s="18"/>
      <c r="B15" s="18"/>
      <c r="C15" s="18"/>
      <c r="D15" s="18"/>
      <c r="E15" s="18"/>
      <c r="F15" s="18"/>
      <c r="G15" s="18"/>
      <c r="H15" s="18"/>
      <c r="I15" s="18" t="str">
        <f aca="false">IF(COUNT(D15:H15)&lt;5,"",ROUND(SUMPRODUCT(D15:H15,$D$2:$H$2)/100,2))</f>
        <v/>
      </c>
      <c r="J15" s="18" t="str">
        <f aca="false">IF(I15="","",IF(I15&gt;=$L$2,"S",IF(I15&gt;=$L$3,"A",IF(I15&gt;=$L$4,"B","C"))))</f>
        <v/>
      </c>
      <c r="K15" s="18"/>
      <c r="L15" s="18"/>
      <c r="M15" s="18"/>
    </row>
    <row r="16" customFormat="false" ht="15" hidden="false" customHeight="false" outlineLevel="0" collapsed="false">
      <c r="A16" s="18"/>
      <c r="B16" s="18"/>
      <c r="C16" s="18"/>
      <c r="D16" s="18"/>
      <c r="E16" s="18"/>
      <c r="F16" s="18"/>
      <c r="G16" s="18"/>
      <c r="H16" s="18"/>
      <c r="I16" s="18" t="str">
        <f aca="false">IF(COUNT(D16:H16)&lt;5,"",ROUND(SUMPRODUCT(D16:H16,$D$2:$H$2)/100,2))</f>
        <v/>
      </c>
      <c r="J16" s="18" t="str">
        <f aca="false">IF(I16="","",IF(I16&gt;=$L$2,"S",IF(I16&gt;=$L$3,"A",IF(I16&gt;=$L$4,"B","C"))))</f>
        <v/>
      </c>
      <c r="K16" s="18"/>
      <c r="L16" s="18"/>
      <c r="M16" s="18"/>
    </row>
    <row r="17" customFormat="false" ht="15" hidden="false" customHeight="false" outlineLevel="0" collapsed="false">
      <c r="A17" s="18"/>
      <c r="B17" s="18"/>
      <c r="C17" s="18"/>
      <c r="D17" s="18"/>
      <c r="E17" s="18"/>
      <c r="F17" s="18"/>
      <c r="G17" s="18"/>
      <c r="H17" s="18"/>
      <c r="I17" s="18" t="str">
        <f aca="false">IF(COUNT(D17:H17)&lt;5,"",ROUND(SUMPRODUCT(D17:H17,$D$2:$H$2)/100,2))</f>
        <v/>
      </c>
      <c r="J17" s="18" t="str">
        <f aca="false">IF(I17="","",IF(I17&gt;=$L$2,"S",IF(I17&gt;=$L$3,"A",IF(I17&gt;=$L$4,"B","C"))))</f>
        <v/>
      </c>
      <c r="K17" s="18"/>
      <c r="L17" s="18"/>
      <c r="M17" s="18"/>
    </row>
    <row r="18" customFormat="false" ht="15" hidden="false" customHeight="false" outlineLevel="0" collapsed="false">
      <c r="A18" s="18"/>
      <c r="B18" s="18"/>
      <c r="C18" s="18"/>
      <c r="D18" s="18"/>
      <c r="E18" s="18"/>
      <c r="F18" s="18"/>
      <c r="G18" s="18"/>
      <c r="H18" s="18"/>
      <c r="I18" s="18" t="str">
        <f aca="false">IF(COUNT(D18:H18)&lt;5,"",ROUND(SUMPRODUCT(D18:H18,$D$2:$H$2)/100,2))</f>
        <v/>
      </c>
      <c r="J18" s="18" t="str">
        <f aca="false">IF(I18="","",IF(I18&gt;=$L$2,"S",IF(I18&gt;=$L$3,"A",IF(I18&gt;=$L$4,"B","C"))))</f>
        <v/>
      </c>
      <c r="K18" s="18"/>
      <c r="L18" s="18"/>
      <c r="M18" s="18"/>
    </row>
    <row r="19" customFormat="false" ht="15" hidden="false" customHeight="false" outlineLevel="0" collapsed="false">
      <c r="A19" s="18"/>
      <c r="B19" s="18"/>
      <c r="C19" s="18"/>
      <c r="D19" s="18"/>
      <c r="E19" s="18"/>
      <c r="F19" s="18"/>
      <c r="G19" s="18"/>
      <c r="H19" s="18"/>
      <c r="I19" s="18" t="str">
        <f aca="false">IF(COUNT(D19:H19)&lt;5,"",ROUND(SUMPRODUCT(D19:H19,$D$2:$H$2)/100,2))</f>
        <v/>
      </c>
      <c r="J19" s="18" t="str">
        <f aca="false">IF(I19="","",IF(I19&gt;=$L$2,"S",IF(I19&gt;=$L$3,"A",IF(I19&gt;=$L$4,"B","C"))))</f>
        <v/>
      </c>
      <c r="K19" s="18"/>
      <c r="L19" s="18"/>
      <c r="M19" s="18"/>
    </row>
    <row r="20" customFormat="false" ht="15" hidden="false" customHeight="false" outlineLevel="0" collapsed="false">
      <c r="A20" s="18"/>
      <c r="B20" s="18"/>
      <c r="C20" s="18"/>
      <c r="D20" s="18"/>
      <c r="E20" s="18"/>
      <c r="F20" s="18"/>
      <c r="G20" s="18"/>
      <c r="H20" s="18"/>
      <c r="I20" s="18" t="str">
        <f aca="false">IF(COUNT(D20:H20)&lt;5,"",ROUND(SUMPRODUCT(D20:H20,$D$2:$H$2)/100,2))</f>
        <v/>
      </c>
      <c r="J20" s="18" t="str">
        <f aca="false">IF(I20="","",IF(I20&gt;=$L$2,"S",IF(I20&gt;=$L$3,"A",IF(I20&gt;=$L$4,"B","C"))))</f>
        <v/>
      </c>
      <c r="K20" s="18"/>
      <c r="L20" s="18"/>
      <c r="M20" s="18"/>
    </row>
    <row r="21" customFormat="false" ht="15" hidden="false" customHeight="false" outlineLevel="0" collapsed="false">
      <c r="A21" s="18"/>
      <c r="B21" s="18"/>
      <c r="C21" s="18"/>
      <c r="D21" s="18"/>
      <c r="E21" s="18"/>
      <c r="F21" s="18"/>
      <c r="G21" s="18"/>
      <c r="H21" s="18"/>
      <c r="I21" s="18" t="str">
        <f aca="false">IF(COUNT(D21:H21)&lt;5,"",ROUND(SUMPRODUCT(D21:H21,$D$2:$H$2)/100,2))</f>
        <v/>
      </c>
      <c r="J21" s="18" t="str">
        <f aca="false">IF(I21="","",IF(I21&gt;=$L$2,"S",IF(I21&gt;=$L$3,"A",IF(I21&gt;=$L$4,"B","C"))))</f>
        <v/>
      </c>
      <c r="K21" s="18"/>
      <c r="L21" s="18"/>
      <c r="M21" s="18"/>
    </row>
    <row r="22" customFormat="false" ht="15" hidden="false" customHeight="false" outlineLevel="0" collapsed="false">
      <c r="A22" s="18"/>
      <c r="B22" s="18"/>
      <c r="C22" s="18"/>
      <c r="D22" s="18"/>
      <c r="E22" s="18"/>
      <c r="F22" s="18"/>
      <c r="G22" s="18"/>
      <c r="H22" s="18"/>
      <c r="I22" s="18" t="str">
        <f aca="false">IF(COUNT(D22:H22)&lt;5,"",ROUND(SUMPRODUCT(D22:H22,$D$2:$H$2)/100,2))</f>
        <v/>
      </c>
      <c r="J22" s="18" t="str">
        <f aca="false">IF(I22="","",IF(I22&gt;=$L$2,"S",IF(I22&gt;=$L$3,"A",IF(I22&gt;=$L$4,"B","C"))))</f>
        <v/>
      </c>
      <c r="K22" s="18"/>
      <c r="L22" s="18"/>
      <c r="M22" s="18"/>
    </row>
    <row r="23" customFormat="false" ht="15" hidden="false" customHeight="false" outlineLevel="0" collapsed="false">
      <c r="A23" s="18"/>
      <c r="B23" s="18"/>
      <c r="C23" s="18"/>
      <c r="D23" s="18"/>
      <c r="E23" s="18"/>
      <c r="F23" s="18"/>
      <c r="G23" s="18"/>
      <c r="H23" s="18"/>
      <c r="I23" s="18" t="str">
        <f aca="false">IF(COUNT(D23:H23)&lt;5,"",ROUND(SUMPRODUCT(D23:H23,$D$2:$H$2)/100,2))</f>
        <v/>
      </c>
      <c r="J23" s="18" t="str">
        <f aca="false">IF(I23="","",IF(I23&gt;=$L$2,"S",IF(I23&gt;=$L$3,"A",IF(I23&gt;=$L$4,"B","C"))))</f>
        <v/>
      </c>
      <c r="K23" s="18"/>
      <c r="L23" s="18"/>
      <c r="M23" s="18"/>
    </row>
    <row r="24" customFormat="false" ht="15" hidden="false" customHeight="false" outlineLevel="0" collapsed="false">
      <c r="A24" s="18"/>
      <c r="B24" s="18"/>
      <c r="C24" s="18"/>
      <c r="D24" s="18"/>
      <c r="E24" s="18"/>
      <c r="F24" s="18"/>
      <c r="G24" s="18"/>
      <c r="H24" s="18"/>
      <c r="I24" s="18" t="str">
        <f aca="false">IF(COUNT(D24:H24)&lt;5,"",ROUND(SUMPRODUCT(D24:H24,$D$2:$H$2)/100,2))</f>
        <v/>
      </c>
      <c r="J24" s="18" t="str">
        <f aca="false">IF(I24="","",IF(I24&gt;=$L$2,"S",IF(I24&gt;=$L$3,"A",IF(I24&gt;=$L$4,"B","C"))))</f>
        <v/>
      </c>
      <c r="K24" s="18"/>
      <c r="L24" s="18"/>
      <c r="M24" s="18"/>
    </row>
    <row r="25" customFormat="false" ht="15" hidden="false" customHeight="false" outlineLevel="0" collapsed="false">
      <c r="A25" s="18"/>
      <c r="B25" s="18"/>
      <c r="C25" s="18"/>
      <c r="D25" s="18"/>
      <c r="E25" s="18"/>
      <c r="F25" s="18"/>
      <c r="G25" s="18"/>
      <c r="H25" s="18"/>
      <c r="I25" s="18" t="str">
        <f aca="false">IF(COUNT(D25:H25)&lt;5,"",ROUND(SUMPRODUCT(D25:H25,$D$2:$H$2)/100,2))</f>
        <v/>
      </c>
      <c r="J25" s="18" t="str">
        <f aca="false">IF(I25="","",IF(I25&gt;=$L$2,"S",IF(I25&gt;=$L$3,"A",IF(I25&gt;=$L$4,"B","C"))))</f>
        <v/>
      </c>
      <c r="K25" s="18"/>
      <c r="L25" s="18"/>
      <c r="M25" s="18"/>
    </row>
    <row r="26" customFormat="false" ht="15" hidden="false" customHeight="false" outlineLevel="0" collapsed="false">
      <c r="A26" s="18"/>
      <c r="B26" s="18"/>
      <c r="C26" s="18"/>
      <c r="D26" s="18"/>
      <c r="E26" s="18"/>
      <c r="F26" s="18"/>
      <c r="G26" s="18"/>
      <c r="H26" s="18"/>
      <c r="I26" s="18" t="str">
        <f aca="false">IF(COUNT(D26:H26)&lt;5,"",ROUND(SUMPRODUCT(D26:H26,$D$2:$H$2)/100,2))</f>
        <v/>
      </c>
      <c r="J26" s="18" t="str">
        <f aca="false">IF(I26="","",IF(I26&gt;=$L$2,"S",IF(I26&gt;=$L$3,"A",IF(I26&gt;=$L$4,"B","C"))))</f>
        <v/>
      </c>
      <c r="K26" s="18"/>
      <c r="L26" s="18"/>
      <c r="M26" s="18"/>
    </row>
    <row r="27" customFormat="false" ht="15" hidden="false" customHeight="false" outlineLevel="0" collapsed="false">
      <c r="A27" s="18"/>
      <c r="B27" s="18"/>
      <c r="C27" s="18"/>
      <c r="D27" s="18"/>
      <c r="E27" s="18"/>
      <c r="F27" s="18"/>
      <c r="G27" s="18"/>
      <c r="H27" s="18"/>
      <c r="I27" s="18" t="str">
        <f aca="false">IF(COUNT(D27:H27)&lt;5,"",ROUND(SUMPRODUCT(D27:H27,$D$2:$H$2)/100,2))</f>
        <v/>
      </c>
      <c r="J27" s="18" t="str">
        <f aca="false">IF(I27="","",IF(I27&gt;=$L$2,"S",IF(I27&gt;=$L$3,"A",IF(I27&gt;=$L$4,"B","C"))))</f>
        <v/>
      </c>
      <c r="K27" s="18"/>
      <c r="L27" s="18"/>
      <c r="M27" s="18"/>
    </row>
    <row r="28" customFormat="false" ht="15" hidden="false" customHeight="false" outlineLevel="0" collapsed="false">
      <c r="A28" s="18"/>
      <c r="B28" s="18"/>
      <c r="C28" s="18"/>
      <c r="D28" s="18"/>
      <c r="E28" s="18"/>
      <c r="F28" s="18"/>
      <c r="G28" s="18"/>
      <c r="H28" s="18"/>
      <c r="I28" s="18" t="str">
        <f aca="false">IF(COUNT(D28:H28)&lt;5,"",ROUND(SUMPRODUCT(D28:H28,$D$2:$H$2)/100,2))</f>
        <v/>
      </c>
      <c r="J28" s="18" t="str">
        <f aca="false">IF(I28="","",IF(I28&gt;=$L$2,"S",IF(I28&gt;=$L$3,"A",IF(I28&gt;=$L$4,"B","C"))))</f>
        <v/>
      </c>
      <c r="K28" s="18"/>
      <c r="L28" s="18"/>
      <c r="M28" s="18"/>
    </row>
    <row r="29" customFormat="false" ht="15" hidden="false" customHeight="false" outlineLevel="0" collapsed="false">
      <c r="A29" s="18"/>
      <c r="B29" s="18"/>
      <c r="C29" s="18"/>
      <c r="D29" s="18"/>
      <c r="E29" s="18"/>
      <c r="F29" s="18"/>
      <c r="G29" s="18"/>
      <c r="H29" s="18"/>
      <c r="I29" s="18" t="str">
        <f aca="false">IF(COUNT(D29:H29)&lt;5,"",ROUND(SUMPRODUCT(D29:H29,$D$2:$H$2)/100,2))</f>
        <v/>
      </c>
      <c r="J29" s="18" t="str">
        <f aca="false">IF(I29="","",IF(I29&gt;=$L$2,"S",IF(I29&gt;=$L$3,"A",IF(I29&gt;=$L$4,"B","C"))))</f>
        <v/>
      </c>
      <c r="K29" s="18"/>
      <c r="L29" s="18"/>
      <c r="M29" s="18"/>
    </row>
    <row r="30" customFormat="false" ht="15" hidden="false" customHeight="false" outlineLevel="0" collapsed="false">
      <c r="A30" s="18"/>
      <c r="B30" s="18"/>
      <c r="C30" s="18"/>
      <c r="D30" s="18"/>
      <c r="E30" s="18"/>
      <c r="F30" s="18"/>
      <c r="G30" s="18"/>
      <c r="H30" s="18"/>
      <c r="I30" s="18" t="str">
        <f aca="false">IF(COUNT(D30:H30)&lt;5,"",ROUND(SUMPRODUCT(D30:H30,$D$2:$H$2)/100,2))</f>
        <v/>
      </c>
      <c r="J30" s="18" t="str">
        <f aca="false">IF(I30="","",IF(I30&gt;=$L$2,"S",IF(I30&gt;=$L$3,"A",IF(I30&gt;=$L$4,"B","C"))))</f>
        <v/>
      </c>
      <c r="K30" s="18"/>
      <c r="L30" s="18"/>
      <c r="M30" s="18"/>
    </row>
    <row r="31" customFormat="false" ht="15" hidden="false" customHeight="false" outlineLevel="0" collapsed="false">
      <c r="A31" s="18"/>
      <c r="B31" s="18"/>
      <c r="C31" s="18"/>
      <c r="D31" s="18"/>
      <c r="E31" s="18"/>
      <c r="F31" s="18"/>
      <c r="G31" s="18"/>
      <c r="H31" s="18"/>
      <c r="I31" s="18" t="str">
        <f aca="false">IF(COUNT(D31:H31)&lt;5,"",ROUND(SUMPRODUCT(D31:H31,$D$2:$H$2)/100,2))</f>
        <v/>
      </c>
      <c r="J31" s="18" t="str">
        <f aca="false">IF(I31="","",IF(I31&gt;=$L$2,"S",IF(I31&gt;=$L$3,"A",IF(I31&gt;=$L$4,"B","C"))))</f>
        <v/>
      </c>
      <c r="K31" s="18"/>
      <c r="L31" s="18"/>
      <c r="M31" s="18"/>
    </row>
    <row r="32" customFormat="false" ht="15" hidden="false" customHeight="false" outlineLevel="0" collapsed="false">
      <c r="A32" s="18"/>
      <c r="B32" s="18"/>
      <c r="C32" s="18"/>
      <c r="D32" s="18"/>
      <c r="E32" s="18"/>
      <c r="F32" s="18"/>
      <c r="G32" s="18"/>
      <c r="H32" s="18"/>
      <c r="I32" s="18" t="str">
        <f aca="false">IF(COUNT(D32:H32)&lt;5,"",ROUND(SUMPRODUCT(D32:H32,$D$2:$H$2)/100,2))</f>
        <v/>
      </c>
      <c r="J32" s="18" t="str">
        <f aca="false">IF(I32="","",IF(I32&gt;=$L$2,"S",IF(I32&gt;=$L$3,"A",IF(I32&gt;=$L$4,"B","C"))))</f>
        <v/>
      </c>
      <c r="K32" s="18"/>
      <c r="L32" s="18"/>
      <c r="M32" s="18"/>
    </row>
    <row r="33" customFormat="false" ht="15" hidden="false" customHeight="false" outlineLevel="0" collapsed="false">
      <c r="A33" s="18"/>
      <c r="B33" s="18"/>
      <c r="C33" s="18"/>
      <c r="D33" s="18"/>
      <c r="E33" s="18"/>
      <c r="F33" s="18"/>
      <c r="G33" s="18"/>
      <c r="H33" s="18"/>
      <c r="I33" s="18" t="str">
        <f aca="false">IF(COUNT(D33:H33)&lt;5,"",ROUND(SUMPRODUCT(D33:H33,$D$2:$H$2)/100,2))</f>
        <v/>
      </c>
      <c r="J33" s="18" t="str">
        <f aca="false">IF(I33="","",IF(I33&gt;=$L$2,"S",IF(I33&gt;=$L$3,"A",IF(I33&gt;=$L$4,"B","C"))))</f>
        <v/>
      </c>
      <c r="K33" s="18"/>
      <c r="L33" s="18"/>
      <c r="M33" s="18"/>
    </row>
    <row r="34" customFormat="false" ht="15" hidden="false" customHeight="false" outlineLevel="0" collapsed="false">
      <c r="A34" s="18"/>
      <c r="B34" s="18"/>
      <c r="C34" s="18"/>
      <c r="D34" s="18"/>
      <c r="E34" s="18"/>
      <c r="F34" s="18"/>
      <c r="G34" s="18"/>
      <c r="H34" s="18"/>
      <c r="I34" s="18" t="str">
        <f aca="false">IF(COUNT(D34:H34)&lt;5,"",ROUND(SUMPRODUCT(D34:H34,$D$2:$H$2)/100,2))</f>
        <v/>
      </c>
      <c r="J34" s="18" t="str">
        <f aca="false">IF(I34="","",IF(I34&gt;=$L$2,"S",IF(I34&gt;=$L$3,"A",IF(I34&gt;=$L$4,"B","C"))))</f>
        <v/>
      </c>
      <c r="K34" s="18"/>
      <c r="L34" s="18"/>
      <c r="M34" s="18"/>
    </row>
    <row r="35" customFormat="false" ht="15" hidden="false" customHeight="false" outlineLevel="0" collapsed="false">
      <c r="A35" s="18"/>
      <c r="B35" s="18"/>
      <c r="C35" s="18"/>
      <c r="D35" s="18"/>
      <c r="E35" s="18"/>
      <c r="F35" s="18"/>
      <c r="G35" s="18"/>
      <c r="H35" s="18"/>
      <c r="I35" s="18" t="str">
        <f aca="false">IF(COUNT(D35:H35)&lt;5,"",ROUND(SUMPRODUCT(D35:H35,$D$2:$H$2)/100,2))</f>
        <v/>
      </c>
      <c r="J35" s="18" t="str">
        <f aca="false">IF(I35="","",IF(I35&gt;=$L$2,"S",IF(I35&gt;=$L$3,"A",IF(I35&gt;=$L$4,"B","C"))))</f>
        <v/>
      </c>
      <c r="K35" s="18"/>
      <c r="L35" s="18"/>
      <c r="M35" s="18"/>
    </row>
    <row r="36" customFormat="false" ht="15" hidden="false" customHeight="false" outlineLevel="0" collapsed="false">
      <c r="A36" s="18"/>
      <c r="B36" s="18"/>
      <c r="C36" s="18"/>
      <c r="D36" s="18"/>
      <c r="E36" s="18"/>
      <c r="F36" s="18"/>
      <c r="G36" s="18"/>
      <c r="H36" s="18"/>
      <c r="I36" s="18" t="str">
        <f aca="false">IF(COUNT(D36:H36)&lt;5,"",ROUND(SUMPRODUCT(D36:H36,$D$2:$H$2)/100,2))</f>
        <v/>
      </c>
      <c r="J36" s="18" t="str">
        <f aca="false">IF(I36="","",IF(I36&gt;=$L$2,"S",IF(I36&gt;=$L$3,"A",IF(I36&gt;=$L$4,"B","C"))))</f>
        <v/>
      </c>
      <c r="K36" s="18"/>
      <c r="L36" s="18"/>
      <c r="M36" s="18"/>
    </row>
    <row r="37" customFormat="false" ht="15" hidden="false" customHeight="false" outlineLevel="0" collapsed="false">
      <c r="A37" s="18"/>
      <c r="B37" s="18"/>
      <c r="C37" s="18"/>
      <c r="D37" s="18"/>
      <c r="E37" s="18"/>
      <c r="F37" s="18"/>
      <c r="G37" s="18"/>
      <c r="H37" s="18"/>
      <c r="I37" s="18" t="str">
        <f aca="false">IF(COUNT(D37:H37)&lt;5,"",ROUND(SUMPRODUCT(D37:H37,$D$2:$H$2)/100,2))</f>
        <v/>
      </c>
      <c r="J37" s="18" t="str">
        <f aca="false">IF(I37="","",IF(I37&gt;=$L$2,"S",IF(I37&gt;=$L$3,"A",IF(I37&gt;=$L$4,"B","C"))))</f>
        <v/>
      </c>
      <c r="K37" s="18"/>
      <c r="L37" s="18"/>
      <c r="M37" s="18"/>
    </row>
    <row r="38" customFormat="false" ht="15" hidden="false" customHeight="false" outlineLevel="0" collapsed="false">
      <c r="A38" s="18"/>
      <c r="B38" s="18"/>
      <c r="C38" s="18"/>
      <c r="D38" s="18"/>
      <c r="E38" s="18"/>
      <c r="F38" s="18"/>
      <c r="G38" s="18"/>
      <c r="H38" s="18"/>
      <c r="I38" s="18" t="str">
        <f aca="false">IF(COUNT(D38:H38)&lt;5,"",ROUND(SUMPRODUCT(D38:H38,$D$2:$H$2)/100,2))</f>
        <v/>
      </c>
      <c r="J38" s="18" t="str">
        <f aca="false">IF(I38="","",IF(I38&gt;=$L$2,"S",IF(I38&gt;=$L$3,"A",IF(I38&gt;=$L$4,"B","C"))))</f>
        <v/>
      </c>
      <c r="K38" s="18"/>
      <c r="L38" s="18"/>
      <c r="M38" s="18"/>
    </row>
    <row r="39" customFormat="false" ht="15" hidden="false" customHeight="false" outlineLevel="0" collapsed="false">
      <c r="A39" s="18"/>
      <c r="B39" s="18"/>
      <c r="C39" s="18"/>
      <c r="D39" s="18"/>
      <c r="E39" s="18"/>
      <c r="F39" s="18"/>
      <c r="G39" s="18"/>
      <c r="H39" s="18"/>
      <c r="I39" s="18" t="str">
        <f aca="false">IF(COUNT(D39:H39)&lt;5,"",ROUND(SUMPRODUCT(D39:H39,$D$2:$H$2)/100,2))</f>
        <v/>
      </c>
      <c r="J39" s="18" t="str">
        <f aca="false">IF(I39="","",IF(I39&gt;=$L$2,"S",IF(I39&gt;=$L$3,"A",IF(I39&gt;=$L$4,"B","C"))))</f>
        <v/>
      </c>
      <c r="K39" s="18"/>
      <c r="L39" s="18"/>
      <c r="M39" s="18"/>
    </row>
    <row r="40" customFormat="false" ht="15" hidden="false" customHeight="false" outlineLevel="0" collapsed="false">
      <c r="A40" s="18"/>
      <c r="B40" s="18"/>
      <c r="C40" s="18"/>
      <c r="D40" s="18"/>
      <c r="E40" s="18"/>
      <c r="F40" s="18"/>
      <c r="G40" s="18"/>
      <c r="H40" s="18"/>
      <c r="I40" s="18" t="str">
        <f aca="false">IF(COUNT(D40:H40)&lt;5,"",ROUND(SUMPRODUCT(D40:H40,$D$2:$H$2)/100,2))</f>
        <v/>
      </c>
      <c r="J40" s="18" t="str">
        <f aca="false">IF(I40="","",IF(I40&gt;=$L$2,"S",IF(I40&gt;=$L$3,"A",IF(I40&gt;=$L$4,"B","C"))))</f>
        <v/>
      </c>
      <c r="K40" s="18"/>
      <c r="L40" s="18"/>
      <c r="M40" s="18"/>
    </row>
    <row r="41" customFormat="false" ht="15" hidden="false" customHeight="false" outlineLevel="0" collapsed="false">
      <c r="A41" s="18"/>
      <c r="B41" s="18"/>
      <c r="C41" s="18"/>
      <c r="D41" s="18"/>
      <c r="E41" s="18"/>
      <c r="F41" s="18"/>
      <c r="G41" s="18"/>
      <c r="H41" s="18"/>
      <c r="I41" s="18" t="str">
        <f aca="false">IF(COUNT(D41:H41)&lt;5,"",ROUND(SUMPRODUCT(D41:H41,$D$2:$H$2)/100,2))</f>
        <v/>
      </c>
      <c r="J41" s="18" t="str">
        <f aca="false">IF(I41="","",IF(I41&gt;=$L$2,"S",IF(I41&gt;=$L$3,"A",IF(I41&gt;=$L$4,"B","C"))))</f>
        <v/>
      </c>
      <c r="K41" s="18"/>
      <c r="L41" s="18"/>
      <c r="M41" s="18"/>
    </row>
    <row r="42" customFormat="false" ht="15" hidden="false" customHeight="false" outlineLevel="0" collapsed="false">
      <c r="A42" s="18"/>
      <c r="B42" s="18"/>
      <c r="C42" s="18"/>
      <c r="D42" s="18"/>
      <c r="E42" s="18"/>
      <c r="F42" s="18"/>
      <c r="G42" s="18"/>
      <c r="H42" s="18"/>
      <c r="I42" s="18" t="str">
        <f aca="false">IF(COUNT(D42:H42)&lt;5,"",ROUND(SUMPRODUCT(D42:H42,$D$2:$H$2)/100,2))</f>
        <v/>
      </c>
      <c r="J42" s="18" t="str">
        <f aca="false">IF(I42="","",IF(I42&gt;=$L$2,"S",IF(I42&gt;=$L$3,"A",IF(I42&gt;=$L$4,"B","C"))))</f>
        <v/>
      </c>
      <c r="K42" s="18"/>
      <c r="L42" s="18"/>
      <c r="M42" s="18"/>
    </row>
    <row r="43" customFormat="false" ht="15" hidden="false" customHeight="false" outlineLevel="0" collapsed="false">
      <c r="A43" s="18"/>
      <c r="B43" s="18"/>
      <c r="C43" s="18"/>
      <c r="D43" s="18"/>
      <c r="E43" s="18"/>
      <c r="F43" s="18"/>
      <c r="G43" s="18"/>
      <c r="H43" s="18"/>
      <c r="I43" s="18" t="str">
        <f aca="false">IF(COUNT(D43:H43)&lt;5,"",ROUND(SUMPRODUCT(D43:H43,$D$2:$H$2)/100,2))</f>
        <v/>
      </c>
      <c r="J43" s="18" t="str">
        <f aca="false">IF(I43="","",IF(I43&gt;=$L$2,"S",IF(I43&gt;=$L$3,"A",IF(I43&gt;=$L$4,"B","C"))))</f>
        <v/>
      </c>
      <c r="K43" s="18"/>
      <c r="L43" s="18"/>
      <c r="M43" s="18"/>
    </row>
    <row r="44" customFormat="false" ht="15" hidden="false" customHeight="false" outlineLevel="0" collapsed="false">
      <c r="A44" s="18"/>
      <c r="B44" s="18"/>
      <c r="C44" s="18"/>
      <c r="D44" s="18"/>
      <c r="E44" s="18"/>
      <c r="F44" s="18"/>
      <c r="G44" s="18"/>
      <c r="H44" s="18"/>
      <c r="I44" s="18" t="str">
        <f aca="false">IF(COUNT(D44:H44)&lt;5,"",ROUND(SUMPRODUCT(D44:H44,$D$2:$H$2)/100,2))</f>
        <v/>
      </c>
      <c r="J44" s="18" t="str">
        <f aca="false">IF(I44="","",IF(I44&gt;=$L$2,"S",IF(I44&gt;=$L$3,"A",IF(I44&gt;=$L$4,"B","C"))))</f>
        <v/>
      </c>
      <c r="K44" s="18"/>
      <c r="L44" s="18"/>
      <c r="M44" s="18"/>
    </row>
    <row r="45" customFormat="false" ht="15" hidden="false" customHeight="false" outlineLevel="0" collapsed="false">
      <c r="A45" s="18"/>
      <c r="B45" s="18"/>
      <c r="C45" s="18"/>
      <c r="D45" s="18"/>
      <c r="E45" s="18"/>
      <c r="F45" s="18"/>
      <c r="G45" s="18"/>
      <c r="H45" s="18"/>
      <c r="I45" s="18" t="str">
        <f aca="false">IF(COUNT(D45:H45)&lt;5,"",ROUND(SUMPRODUCT(D45:H45,$D$2:$H$2)/100,2))</f>
        <v/>
      </c>
      <c r="J45" s="18" t="str">
        <f aca="false">IF(I45="","",IF(I45&gt;=$L$2,"S",IF(I45&gt;=$L$3,"A",IF(I45&gt;=$L$4,"B","C"))))</f>
        <v/>
      </c>
      <c r="K45" s="18"/>
      <c r="L45" s="18"/>
      <c r="M45" s="18"/>
    </row>
    <row r="46" customFormat="false" ht="15" hidden="false" customHeight="false" outlineLevel="0" collapsed="false">
      <c r="A46" s="18"/>
      <c r="B46" s="18"/>
      <c r="C46" s="18"/>
      <c r="D46" s="18"/>
      <c r="E46" s="18"/>
      <c r="F46" s="18"/>
      <c r="G46" s="18"/>
      <c r="H46" s="18"/>
      <c r="I46" s="18" t="str">
        <f aca="false">IF(COUNT(D46:H46)&lt;5,"",ROUND(SUMPRODUCT(D46:H46,$D$2:$H$2)/100,2))</f>
        <v/>
      </c>
      <c r="J46" s="18" t="str">
        <f aca="false">IF(I46="","",IF(I46&gt;=$L$2,"S",IF(I46&gt;=$L$3,"A",IF(I46&gt;=$L$4,"B","C"))))</f>
        <v/>
      </c>
      <c r="K46" s="18"/>
      <c r="L46" s="18"/>
      <c r="M46" s="18"/>
    </row>
    <row r="47" customFormat="false" ht="15" hidden="false" customHeight="false" outlineLevel="0" collapsed="false">
      <c r="A47" s="18"/>
      <c r="B47" s="18"/>
      <c r="C47" s="18"/>
      <c r="D47" s="18"/>
      <c r="E47" s="18"/>
      <c r="F47" s="18"/>
      <c r="G47" s="18"/>
      <c r="H47" s="18"/>
      <c r="I47" s="18" t="str">
        <f aca="false">IF(COUNT(D47:H47)&lt;5,"",ROUND(SUMPRODUCT(D47:H47,$D$2:$H$2)/100,2))</f>
        <v/>
      </c>
      <c r="J47" s="18" t="str">
        <f aca="false">IF(I47="","",IF(I47&gt;=$L$2,"S",IF(I47&gt;=$L$3,"A",IF(I47&gt;=$L$4,"B","C"))))</f>
        <v/>
      </c>
      <c r="K47" s="18"/>
      <c r="L47" s="18"/>
      <c r="M47" s="18"/>
    </row>
    <row r="48" customFormat="false" ht="15" hidden="false" customHeight="false" outlineLevel="0" collapsed="false">
      <c r="A48" s="18"/>
      <c r="B48" s="18"/>
      <c r="C48" s="18"/>
      <c r="D48" s="18"/>
      <c r="E48" s="18"/>
      <c r="F48" s="18"/>
      <c r="G48" s="18"/>
      <c r="H48" s="18"/>
      <c r="I48" s="18" t="str">
        <f aca="false">IF(COUNT(D48:H48)&lt;5,"",ROUND(SUMPRODUCT(D48:H48,$D$2:$H$2)/100,2))</f>
        <v/>
      </c>
      <c r="J48" s="18" t="str">
        <f aca="false">IF(I48="","",IF(I48&gt;=$L$2,"S",IF(I48&gt;=$L$3,"A",IF(I48&gt;=$L$4,"B","C"))))</f>
        <v/>
      </c>
      <c r="K48" s="18"/>
      <c r="L48" s="18"/>
      <c r="M48" s="18"/>
    </row>
    <row r="49" customFormat="false" ht="15" hidden="false" customHeight="false" outlineLevel="0" collapsed="false">
      <c r="A49" s="18"/>
      <c r="B49" s="18"/>
      <c r="C49" s="18"/>
      <c r="D49" s="18"/>
      <c r="E49" s="18"/>
      <c r="F49" s="18"/>
      <c r="G49" s="18"/>
      <c r="H49" s="18"/>
      <c r="I49" s="18" t="str">
        <f aca="false">IF(COUNT(D49:H49)&lt;5,"",ROUND(SUMPRODUCT(D49:H49,$D$2:$H$2)/100,2))</f>
        <v/>
      </c>
      <c r="J49" s="18" t="str">
        <f aca="false">IF(I49="","",IF(I49&gt;=$L$2,"S",IF(I49&gt;=$L$3,"A",IF(I49&gt;=$L$4,"B","C"))))</f>
        <v/>
      </c>
      <c r="K49" s="18"/>
      <c r="L49" s="18"/>
      <c r="M49" s="18"/>
    </row>
    <row r="50" customFormat="false" ht="15" hidden="false" customHeight="false" outlineLevel="0" collapsed="false">
      <c r="A50" s="18"/>
      <c r="B50" s="18"/>
      <c r="C50" s="18"/>
      <c r="D50" s="18"/>
      <c r="E50" s="18"/>
      <c r="F50" s="18"/>
      <c r="G50" s="18"/>
      <c r="H50" s="18"/>
      <c r="I50" s="18" t="str">
        <f aca="false">IF(COUNT(D50:H50)&lt;5,"",ROUND(SUMPRODUCT(D50:H50,$D$2:$H$2)/100,2))</f>
        <v/>
      </c>
      <c r="J50" s="18" t="str">
        <f aca="false">IF(I50="","",IF(I50&gt;=$L$2,"S",IF(I50&gt;=$L$3,"A",IF(I50&gt;=$L$4,"B","C"))))</f>
        <v/>
      </c>
      <c r="K50" s="18"/>
      <c r="L50" s="18"/>
      <c r="M50" s="18"/>
    </row>
    <row r="51" customFormat="false" ht="15" hidden="false" customHeight="false" outlineLevel="0" collapsed="false">
      <c r="A51" s="18"/>
      <c r="B51" s="18"/>
      <c r="C51" s="18"/>
      <c r="D51" s="18"/>
      <c r="E51" s="18"/>
      <c r="F51" s="18"/>
      <c r="G51" s="18"/>
      <c r="H51" s="18"/>
      <c r="I51" s="18" t="str">
        <f aca="false">IF(COUNT(D51:H51)&lt;5,"",ROUND(SUMPRODUCT(D51:H51,$D$2:$H$2)/100,2))</f>
        <v/>
      </c>
      <c r="J51" s="18" t="str">
        <f aca="false">IF(I51="","",IF(I51&gt;=$L$2,"S",IF(I51&gt;=$L$3,"A",IF(I51&gt;=$L$4,"B","C"))))</f>
        <v/>
      </c>
      <c r="K51" s="18"/>
      <c r="L51" s="18"/>
      <c r="M51" s="18"/>
    </row>
    <row r="52" customFormat="false" ht="15" hidden="false" customHeight="false" outlineLevel="0" collapsed="false">
      <c r="A52" s="18"/>
      <c r="B52" s="18"/>
      <c r="C52" s="18"/>
      <c r="D52" s="18"/>
      <c r="E52" s="18"/>
      <c r="F52" s="18"/>
      <c r="G52" s="18"/>
      <c r="H52" s="18"/>
      <c r="I52" s="18" t="str">
        <f aca="false">IF(COUNT(D52:H52)&lt;5,"",ROUND(SUMPRODUCT(D52:H52,$D$2:$H$2)/100,2))</f>
        <v/>
      </c>
      <c r="J52" s="18" t="str">
        <f aca="false">IF(I52="","",IF(I52&gt;=$L$2,"S",IF(I52&gt;=$L$3,"A",IF(I52&gt;=$L$4,"B","C"))))</f>
        <v/>
      </c>
      <c r="K52" s="18"/>
      <c r="L52" s="18"/>
      <c r="M52" s="18"/>
    </row>
    <row r="53" customFormat="false" ht="15" hidden="false" customHeight="false" outlineLevel="0" collapsed="false">
      <c r="A53" s="18"/>
      <c r="B53" s="18"/>
      <c r="C53" s="18"/>
      <c r="D53" s="18"/>
      <c r="E53" s="18"/>
      <c r="F53" s="18"/>
      <c r="G53" s="18"/>
      <c r="H53" s="18"/>
      <c r="I53" s="18" t="str">
        <f aca="false">IF(COUNT(D53:H53)&lt;5,"",ROUND(SUMPRODUCT(D53:H53,$D$2:$H$2)/100,2))</f>
        <v/>
      </c>
      <c r="J53" s="18" t="str">
        <f aca="false">IF(I53="","",IF(I53&gt;=$L$2,"S",IF(I53&gt;=$L$3,"A",IF(I53&gt;=$L$4,"B","C"))))</f>
        <v/>
      </c>
      <c r="K53" s="18"/>
      <c r="L53" s="18"/>
      <c r="M53" s="18"/>
    </row>
    <row r="54" customFormat="false" ht="15" hidden="false" customHeight="false" outlineLevel="0" collapsed="false">
      <c r="A54" s="18"/>
      <c r="B54" s="18"/>
      <c r="C54" s="18"/>
      <c r="D54" s="18"/>
      <c r="E54" s="18"/>
      <c r="F54" s="18"/>
      <c r="G54" s="18"/>
      <c r="H54" s="18"/>
      <c r="I54" s="18" t="str">
        <f aca="false">IF(COUNT(D54:H54)&lt;5,"",ROUND(SUMPRODUCT(D54:H54,$D$2:$H$2)/100,2))</f>
        <v/>
      </c>
      <c r="J54" s="18" t="str">
        <f aca="false">IF(I54="","",IF(I54&gt;=$L$2,"S",IF(I54&gt;=$L$3,"A",IF(I54&gt;=$L$4,"B","C"))))</f>
        <v/>
      </c>
      <c r="K54" s="18"/>
      <c r="L54" s="18"/>
      <c r="M54" s="18"/>
    </row>
    <row r="55" customFormat="false" ht="15" hidden="false" customHeight="false" outlineLevel="0" collapsed="false">
      <c r="A55" s="18"/>
      <c r="B55" s="18"/>
      <c r="C55" s="18"/>
      <c r="D55" s="18"/>
      <c r="E55" s="18"/>
      <c r="F55" s="18"/>
      <c r="G55" s="18"/>
      <c r="H55" s="18"/>
      <c r="I55" s="18" t="str">
        <f aca="false">IF(COUNT(D55:H55)&lt;5,"",ROUND(SUMPRODUCT(D55:H55,$D$2:$H$2)/100,2))</f>
        <v/>
      </c>
      <c r="J55" s="18" t="str">
        <f aca="false">IF(I55="","",IF(I55&gt;=$L$2,"S",IF(I55&gt;=$L$3,"A",IF(I55&gt;=$L$4,"B","C"))))</f>
        <v/>
      </c>
      <c r="K55" s="18"/>
      <c r="L55" s="18"/>
      <c r="M55" s="18"/>
    </row>
    <row r="56" customFormat="false" ht="15" hidden="false" customHeight="false" outlineLevel="0" collapsed="false">
      <c r="A56" s="18"/>
      <c r="B56" s="18"/>
      <c r="C56" s="18"/>
      <c r="D56" s="18"/>
      <c r="E56" s="18"/>
      <c r="F56" s="18"/>
      <c r="G56" s="18"/>
      <c r="H56" s="18"/>
      <c r="I56" s="18" t="str">
        <f aca="false">IF(COUNT(D56:H56)&lt;5,"",ROUND(SUMPRODUCT(D56:H56,$D$2:$H$2)/100,2))</f>
        <v/>
      </c>
      <c r="J56" s="18" t="str">
        <f aca="false">IF(I56="","",IF(I56&gt;=$L$2,"S",IF(I56&gt;=$L$3,"A",IF(I56&gt;=$L$4,"B","C"))))</f>
        <v/>
      </c>
      <c r="K56" s="18"/>
      <c r="L56" s="18"/>
      <c r="M56" s="18"/>
    </row>
    <row r="57" customFormat="false" ht="15" hidden="false" customHeight="false" outlineLevel="0" collapsed="false">
      <c r="A57" s="18"/>
      <c r="B57" s="18"/>
      <c r="C57" s="18"/>
      <c r="D57" s="18"/>
      <c r="E57" s="18"/>
      <c r="F57" s="18"/>
      <c r="G57" s="18"/>
      <c r="H57" s="18"/>
      <c r="I57" s="18" t="str">
        <f aca="false">IF(COUNT(D57:H57)&lt;5,"",ROUND(SUMPRODUCT(D57:H57,$D$2:$H$2)/100,2))</f>
        <v/>
      </c>
      <c r="J57" s="18" t="str">
        <f aca="false">IF(I57="","",IF(I57&gt;=$L$2,"S",IF(I57&gt;=$L$3,"A",IF(I57&gt;=$L$4,"B","C"))))</f>
        <v/>
      </c>
      <c r="K57" s="18"/>
      <c r="L57" s="18"/>
      <c r="M57" s="18"/>
    </row>
    <row r="58" customFormat="false" ht="15" hidden="false" customHeight="false" outlineLevel="0" collapsed="false">
      <c r="A58" s="18"/>
      <c r="B58" s="18"/>
      <c r="C58" s="18"/>
      <c r="D58" s="18"/>
      <c r="E58" s="18"/>
      <c r="F58" s="18"/>
      <c r="G58" s="18"/>
      <c r="H58" s="18"/>
      <c r="I58" s="18" t="str">
        <f aca="false">IF(COUNT(D58:H58)&lt;5,"",ROUND(SUMPRODUCT(D58:H58,$D$2:$H$2)/100,2))</f>
        <v/>
      </c>
      <c r="J58" s="18" t="str">
        <f aca="false">IF(I58="","",IF(I58&gt;=$L$2,"S",IF(I58&gt;=$L$3,"A",IF(I58&gt;=$L$4,"B","C"))))</f>
        <v/>
      </c>
      <c r="K58" s="18"/>
      <c r="L58" s="18"/>
      <c r="M58" s="18"/>
    </row>
    <row r="59" customFormat="false" ht="15" hidden="false" customHeight="false" outlineLevel="0" collapsed="false">
      <c r="A59" s="18"/>
      <c r="B59" s="18"/>
      <c r="C59" s="18"/>
      <c r="D59" s="18"/>
      <c r="E59" s="18"/>
      <c r="F59" s="18"/>
      <c r="G59" s="18"/>
      <c r="H59" s="18"/>
      <c r="I59" s="18" t="str">
        <f aca="false">IF(COUNT(D59:H59)&lt;5,"",ROUND(SUMPRODUCT(D59:H59,$D$2:$H$2)/100,2))</f>
        <v/>
      </c>
      <c r="J59" s="18" t="str">
        <f aca="false">IF(I59="","",IF(I59&gt;=$L$2,"S",IF(I59&gt;=$L$3,"A",IF(I59&gt;=$L$4,"B","C"))))</f>
        <v/>
      </c>
      <c r="K59" s="18"/>
      <c r="L59" s="18"/>
      <c r="M59" s="18"/>
    </row>
    <row r="60" customFormat="false" ht="15" hidden="false" customHeight="false" outlineLevel="0" collapsed="false">
      <c r="A60" s="18"/>
      <c r="B60" s="18"/>
      <c r="C60" s="18"/>
      <c r="D60" s="18"/>
      <c r="E60" s="18"/>
      <c r="F60" s="18"/>
      <c r="G60" s="18"/>
      <c r="H60" s="18"/>
      <c r="I60" s="18" t="str">
        <f aca="false">IF(COUNT(D60:H60)&lt;5,"",ROUND(SUMPRODUCT(D60:H60,$D$2:$H$2)/100,2))</f>
        <v/>
      </c>
      <c r="J60" s="18" t="str">
        <f aca="false">IF(I60="","",IF(I60&gt;=$L$2,"S",IF(I60&gt;=$L$3,"A",IF(I60&gt;=$L$4,"B","C"))))</f>
        <v/>
      </c>
      <c r="K60" s="18"/>
      <c r="L60" s="18"/>
      <c r="M60" s="18"/>
    </row>
    <row r="61" customFormat="false" ht="15" hidden="false" customHeight="false" outlineLevel="0" collapsed="false">
      <c r="A61" s="18"/>
      <c r="B61" s="18"/>
      <c r="C61" s="18"/>
      <c r="D61" s="18"/>
      <c r="E61" s="18"/>
      <c r="F61" s="18"/>
      <c r="G61" s="18"/>
      <c r="H61" s="18"/>
      <c r="I61" s="18" t="str">
        <f aca="false">IF(COUNT(D61:H61)&lt;5,"",ROUND(SUMPRODUCT(D61:H61,$D$2:$H$2)/100,2))</f>
        <v/>
      </c>
      <c r="J61" s="18" t="str">
        <f aca="false">IF(I61="","",IF(I61&gt;=$L$2,"S",IF(I61&gt;=$L$3,"A",IF(I61&gt;=$L$4,"B","C"))))</f>
        <v/>
      </c>
      <c r="K61" s="18"/>
      <c r="L61" s="18"/>
      <c r="M61" s="18"/>
    </row>
    <row r="62" customFormat="false" ht="15" hidden="false" customHeight="false" outlineLevel="0" collapsed="false">
      <c r="A62" s="18"/>
      <c r="B62" s="18"/>
      <c r="C62" s="18"/>
      <c r="D62" s="18"/>
      <c r="E62" s="18"/>
      <c r="F62" s="18"/>
      <c r="G62" s="18"/>
      <c r="H62" s="18"/>
      <c r="I62" s="18" t="str">
        <f aca="false">IF(COUNT(D62:H62)&lt;5,"",ROUND(SUMPRODUCT(D62:H62,$D$2:$H$2)/100,2))</f>
        <v/>
      </c>
      <c r="J62" s="18" t="str">
        <f aca="false">IF(I62="","",IF(I62&gt;=$L$2,"S",IF(I62&gt;=$L$3,"A",IF(I62&gt;=$L$4,"B","C"))))</f>
        <v/>
      </c>
      <c r="K62" s="18"/>
      <c r="L62" s="18"/>
      <c r="M62" s="18"/>
    </row>
    <row r="63" customFormat="false" ht="15" hidden="false" customHeight="false" outlineLevel="0" collapsed="false">
      <c r="A63" s="18"/>
      <c r="B63" s="18"/>
      <c r="C63" s="18"/>
      <c r="D63" s="18"/>
      <c r="E63" s="18"/>
      <c r="F63" s="18"/>
      <c r="G63" s="18"/>
      <c r="H63" s="18"/>
      <c r="I63" s="18" t="str">
        <f aca="false">IF(COUNT(D63:H63)&lt;5,"",ROUND(SUMPRODUCT(D63:H63,$D$2:$H$2)/100,2))</f>
        <v/>
      </c>
      <c r="J63" s="18" t="str">
        <f aca="false">IF(I63="","",IF(I63&gt;=$L$2,"S",IF(I63&gt;=$L$3,"A",IF(I63&gt;=$L$4,"B","C"))))</f>
        <v/>
      </c>
      <c r="K63" s="18"/>
      <c r="L63" s="18"/>
      <c r="M63" s="18"/>
    </row>
    <row r="64" customFormat="false" ht="15" hidden="false" customHeight="false" outlineLevel="0" collapsed="false">
      <c r="A64" s="18"/>
      <c r="B64" s="18"/>
      <c r="C64" s="18"/>
      <c r="D64" s="18"/>
      <c r="E64" s="18"/>
      <c r="F64" s="18"/>
      <c r="G64" s="18"/>
      <c r="H64" s="18"/>
      <c r="I64" s="18" t="str">
        <f aca="false">IF(COUNT(D64:H64)&lt;5,"",ROUND(SUMPRODUCT(D64:H64,$D$2:$H$2)/100,2))</f>
        <v/>
      </c>
      <c r="J64" s="18" t="str">
        <f aca="false">IF(I64="","",IF(I64&gt;=$L$2,"S",IF(I64&gt;=$L$3,"A",IF(I64&gt;=$L$4,"B","C"))))</f>
        <v/>
      </c>
      <c r="K64" s="18"/>
      <c r="L64" s="18"/>
      <c r="M64" s="18"/>
    </row>
    <row r="65" customFormat="false" ht="15" hidden="false" customHeight="false" outlineLevel="0" collapsed="false">
      <c r="A65" s="18"/>
      <c r="B65" s="18"/>
      <c r="C65" s="18"/>
      <c r="D65" s="18"/>
      <c r="E65" s="18"/>
      <c r="F65" s="18"/>
      <c r="G65" s="18"/>
      <c r="H65" s="18"/>
      <c r="I65" s="18" t="str">
        <f aca="false">IF(COUNT(D65:H65)&lt;5,"",ROUND(SUMPRODUCT(D65:H65,$D$2:$H$2)/100,2))</f>
        <v/>
      </c>
      <c r="J65" s="18" t="str">
        <f aca="false">IF(I65="","",IF(I65&gt;=$L$2,"S",IF(I65&gt;=$L$3,"A",IF(I65&gt;=$L$4,"B","C"))))</f>
        <v/>
      </c>
      <c r="K65" s="18"/>
      <c r="L65" s="18"/>
      <c r="M65" s="18"/>
    </row>
    <row r="66" customFormat="false" ht="15" hidden="false" customHeight="false" outlineLevel="0" collapsed="false">
      <c r="A66" s="18"/>
      <c r="B66" s="18"/>
      <c r="C66" s="18"/>
      <c r="D66" s="18"/>
      <c r="E66" s="18"/>
      <c r="F66" s="18"/>
      <c r="G66" s="18"/>
      <c r="H66" s="18"/>
      <c r="I66" s="18" t="str">
        <f aca="false">IF(COUNT(D66:H66)&lt;5,"",ROUND(SUMPRODUCT(D66:H66,$D$2:$H$2)/100,2))</f>
        <v/>
      </c>
      <c r="J66" s="18" t="str">
        <f aca="false">IF(I66="","",IF(I66&gt;=$L$2,"S",IF(I66&gt;=$L$3,"A",IF(I66&gt;=$L$4,"B","C"))))</f>
        <v/>
      </c>
      <c r="K66" s="18"/>
      <c r="L66" s="18"/>
      <c r="M66" s="18"/>
    </row>
    <row r="67" customFormat="false" ht="15" hidden="false" customHeight="false" outlineLevel="0" collapsed="false">
      <c r="A67" s="18"/>
      <c r="B67" s="18"/>
      <c r="C67" s="18"/>
      <c r="D67" s="18"/>
      <c r="E67" s="18"/>
      <c r="F67" s="18"/>
      <c r="G67" s="18"/>
      <c r="H67" s="18"/>
      <c r="I67" s="18" t="str">
        <f aca="false">IF(COUNT(D67:H67)&lt;5,"",ROUND(SUMPRODUCT(D67:H67,$D$2:$H$2)/100,2))</f>
        <v/>
      </c>
      <c r="J67" s="18" t="str">
        <f aca="false">IF(I67="","",IF(I67&gt;=$L$2,"S",IF(I67&gt;=$L$3,"A",IF(I67&gt;=$L$4,"B","C"))))</f>
        <v/>
      </c>
      <c r="K67" s="18"/>
      <c r="L67" s="18"/>
      <c r="M67" s="18"/>
    </row>
    <row r="68" customFormat="false" ht="15" hidden="false" customHeight="false" outlineLevel="0" collapsed="false">
      <c r="A68" s="18"/>
      <c r="B68" s="18"/>
      <c r="C68" s="18"/>
      <c r="D68" s="18"/>
      <c r="E68" s="18"/>
      <c r="F68" s="18"/>
      <c r="G68" s="18"/>
      <c r="H68" s="18"/>
      <c r="I68" s="18" t="str">
        <f aca="false">IF(COUNT(D68:H68)&lt;5,"",ROUND(SUMPRODUCT(D68:H68,$D$2:$H$2)/100,2))</f>
        <v/>
      </c>
      <c r="J68" s="18" t="str">
        <f aca="false">IF(I68="","",IF(I68&gt;=$L$2,"S",IF(I68&gt;=$L$3,"A",IF(I68&gt;=$L$4,"B","C"))))</f>
        <v/>
      </c>
      <c r="K68" s="18"/>
      <c r="L68" s="18"/>
      <c r="M68" s="18"/>
    </row>
    <row r="69" customFormat="false" ht="15" hidden="false" customHeight="false" outlineLevel="0" collapsed="false">
      <c r="A69" s="18"/>
      <c r="B69" s="18"/>
      <c r="C69" s="18"/>
      <c r="D69" s="18"/>
      <c r="E69" s="18"/>
      <c r="F69" s="18"/>
      <c r="G69" s="18"/>
      <c r="H69" s="18"/>
      <c r="I69" s="18" t="str">
        <f aca="false">IF(COUNT(D69:H69)&lt;5,"",ROUND(SUMPRODUCT(D69:H69,$D$2:$H$2)/100,2))</f>
        <v/>
      </c>
      <c r="J69" s="18" t="str">
        <f aca="false">IF(I69="","",IF(I69&gt;=$L$2,"S",IF(I69&gt;=$L$3,"A",IF(I69&gt;=$L$4,"B","C"))))</f>
        <v/>
      </c>
      <c r="K69" s="18"/>
      <c r="L69" s="18"/>
      <c r="M69" s="18"/>
    </row>
    <row r="70" customFormat="false" ht="15" hidden="false" customHeight="false" outlineLevel="0" collapsed="false">
      <c r="A70" s="18"/>
      <c r="B70" s="18"/>
      <c r="C70" s="18"/>
      <c r="D70" s="18"/>
      <c r="E70" s="18"/>
      <c r="F70" s="18"/>
      <c r="G70" s="18"/>
      <c r="H70" s="18"/>
      <c r="I70" s="18" t="str">
        <f aca="false">IF(COUNT(D70:H70)&lt;5,"",ROUND(SUMPRODUCT(D70:H70,$D$2:$H$2)/100,2))</f>
        <v/>
      </c>
      <c r="J70" s="18" t="str">
        <f aca="false">IF(I70="","",IF(I70&gt;=$L$2,"S",IF(I70&gt;=$L$3,"A",IF(I70&gt;=$L$4,"B","C"))))</f>
        <v/>
      </c>
      <c r="K70" s="18"/>
      <c r="L70" s="18"/>
      <c r="M70" s="18"/>
    </row>
    <row r="71" customFormat="false" ht="15" hidden="false" customHeight="false" outlineLevel="0" collapsed="false">
      <c r="A71" s="18"/>
      <c r="B71" s="18"/>
      <c r="C71" s="18"/>
      <c r="D71" s="18"/>
      <c r="E71" s="18"/>
      <c r="F71" s="18"/>
      <c r="G71" s="18"/>
      <c r="H71" s="18"/>
      <c r="I71" s="18" t="str">
        <f aca="false">IF(COUNT(D71:H71)&lt;5,"",ROUND(SUMPRODUCT(D71:H71,$D$2:$H$2)/100,2))</f>
        <v/>
      </c>
      <c r="J71" s="18" t="str">
        <f aca="false">IF(I71="","",IF(I71&gt;=$L$2,"S",IF(I71&gt;=$L$3,"A",IF(I71&gt;=$L$4,"B","C"))))</f>
        <v/>
      </c>
      <c r="K71" s="18"/>
      <c r="L71" s="18"/>
      <c r="M71" s="18"/>
    </row>
    <row r="72" customFormat="false" ht="15" hidden="false" customHeight="false" outlineLevel="0" collapsed="false">
      <c r="A72" s="18"/>
      <c r="B72" s="18"/>
      <c r="C72" s="18"/>
      <c r="D72" s="18"/>
      <c r="E72" s="18"/>
      <c r="F72" s="18"/>
      <c r="G72" s="18"/>
      <c r="H72" s="18"/>
      <c r="I72" s="18" t="str">
        <f aca="false">IF(COUNT(D72:H72)&lt;5,"",ROUND(SUMPRODUCT(D72:H72,$D$2:$H$2)/100,2))</f>
        <v/>
      </c>
      <c r="J72" s="18" t="str">
        <f aca="false">IF(I72="","",IF(I72&gt;=$L$2,"S",IF(I72&gt;=$L$3,"A",IF(I72&gt;=$L$4,"B","C"))))</f>
        <v/>
      </c>
      <c r="K72" s="18"/>
      <c r="L72" s="18"/>
      <c r="M72" s="18"/>
    </row>
    <row r="73" customFormat="false" ht="15" hidden="false" customHeight="false" outlineLevel="0" collapsed="false">
      <c r="A73" s="18"/>
      <c r="B73" s="18"/>
      <c r="C73" s="18"/>
      <c r="D73" s="18"/>
      <c r="E73" s="18"/>
      <c r="F73" s="18"/>
      <c r="G73" s="18"/>
      <c r="H73" s="18"/>
      <c r="I73" s="18" t="str">
        <f aca="false">IF(COUNT(D73:H73)&lt;5,"",ROUND(SUMPRODUCT(D73:H73,$D$2:$H$2)/100,2))</f>
        <v/>
      </c>
      <c r="J73" s="18" t="str">
        <f aca="false">IF(I73="","",IF(I73&gt;=$L$2,"S",IF(I73&gt;=$L$3,"A",IF(I73&gt;=$L$4,"B","C"))))</f>
        <v/>
      </c>
      <c r="K73" s="18"/>
      <c r="L73" s="18"/>
      <c r="M73" s="18"/>
    </row>
    <row r="74" customFormat="false" ht="15" hidden="false" customHeight="false" outlineLevel="0" collapsed="false">
      <c r="A74" s="18"/>
      <c r="B74" s="18"/>
      <c r="C74" s="18"/>
      <c r="D74" s="18"/>
      <c r="E74" s="18"/>
      <c r="F74" s="18"/>
      <c r="G74" s="18"/>
      <c r="H74" s="18"/>
      <c r="I74" s="18" t="str">
        <f aca="false">IF(COUNT(D74:H74)&lt;5,"",ROUND(SUMPRODUCT(D74:H74,$D$2:$H$2)/100,2))</f>
        <v/>
      </c>
      <c r="J74" s="18" t="str">
        <f aca="false">IF(I74="","",IF(I74&gt;=$L$2,"S",IF(I74&gt;=$L$3,"A",IF(I74&gt;=$L$4,"B","C"))))</f>
        <v/>
      </c>
      <c r="K74" s="18"/>
      <c r="L74" s="18"/>
      <c r="M74" s="18"/>
    </row>
    <row r="75" customFormat="false" ht="15" hidden="false" customHeight="false" outlineLevel="0" collapsed="false">
      <c r="A75" s="18"/>
      <c r="B75" s="18"/>
      <c r="C75" s="18"/>
      <c r="D75" s="18"/>
      <c r="E75" s="18"/>
      <c r="F75" s="18"/>
      <c r="G75" s="18"/>
      <c r="H75" s="18"/>
      <c r="I75" s="18" t="str">
        <f aca="false">IF(COUNT(D75:H75)&lt;5,"",ROUND(SUMPRODUCT(D75:H75,$D$2:$H$2)/100,2))</f>
        <v/>
      </c>
      <c r="J75" s="18" t="str">
        <f aca="false">IF(I75="","",IF(I75&gt;=$L$2,"S",IF(I75&gt;=$L$3,"A",IF(I75&gt;=$L$4,"B","C"))))</f>
        <v/>
      </c>
      <c r="K75" s="18"/>
      <c r="L75" s="18"/>
      <c r="M75" s="18"/>
    </row>
    <row r="76" customFormat="false" ht="15" hidden="false" customHeight="false" outlineLevel="0" collapsed="false">
      <c r="A76" s="18"/>
      <c r="B76" s="18"/>
      <c r="C76" s="18"/>
      <c r="D76" s="18"/>
      <c r="E76" s="18"/>
      <c r="F76" s="18"/>
      <c r="G76" s="18"/>
      <c r="H76" s="18"/>
      <c r="I76" s="18" t="str">
        <f aca="false">IF(COUNT(D76:H76)&lt;5,"",ROUND(SUMPRODUCT(D76:H76,$D$2:$H$2)/100,2))</f>
        <v/>
      </c>
      <c r="J76" s="18" t="str">
        <f aca="false">IF(I76="","",IF(I76&gt;=$L$2,"S",IF(I76&gt;=$L$3,"A",IF(I76&gt;=$L$4,"B","C"))))</f>
        <v/>
      </c>
      <c r="K76" s="18"/>
      <c r="L76" s="18"/>
      <c r="M76" s="18"/>
    </row>
    <row r="77" customFormat="false" ht="15" hidden="false" customHeight="false" outlineLevel="0" collapsed="false">
      <c r="A77" s="18"/>
      <c r="B77" s="18"/>
      <c r="C77" s="18"/>
      <c r="D77" s="18"/>
      <c r="E77" s="18"/>
      <c r="F77" s="18"/>
      <c r="G77" s="18"/>
      <c r="H77" s="18"/>
      <c r="I77" s="18" t="str">
        <f aca="false">IF(COUNT(D77:H77)&lt;5,"",ROUND(SUMPRODUCT(D77:H77,$D$2:$H$2)/100,2))</f>
        <v/>
      </c>
      <c r="J77" s="18" t="str">
        <f aca="false">IF(I77="","",IF(I77&gt;=$L$2,"S",IF(I77&gt;=$L$3,"A",IF(I77&gt;=$L$4,"B","C"))))</f>
        <v/>
      </c>
      <c r="K77" s="18"/>
      <c r="L77" s="18"/>
      <c r="M77" s="18"/>
    </row>
    <row r="78" customFormat="false" ht="15" hidden="false" customHeight="false" outlineLevel="0" collapsed="false">
      <c r="A78" s="18"/>
      <c r="B78" s="18"/>
      <c r="C78" s="18"/>
      <c r="D78" s="18"/>
      <c r="E78" s="18"/>
      <c r="F78" s="18"/>
      <c r="G78" s="18"/>
      <c r="H78" s="18"/>
      <c r="I78" s="18" t="str">
        <f aca="false">IF(COUNT(D78:H78)&lt;5,"",ROUND(SUMPRODUCT(D78:H78,$D$2:$H$2)/100,2))</f>
        <v/>
      </c>
      <c r="J78" s="18" t="str">
        <f aca="false">IF(I78="","",IF(I78&gt;=$L$2,"S",IF(I78&gt;=$L$3,"A",IF(I78&gt;=$L$4,"B","C"))))</f>
        <v/>
      </c>
      <c r="K78" s="18"/>
      <c r="L78" s="18"/>
      <c r="M78" s="18"/>
    </row>
    <row r="79" customFormat="false" ht="15" hidden="false" customHeight="false" outlineLevel="0" collapsed="false">
      <c r="A79" s="18"/>
      <c r="B79" s="18"/>
      <c r="C79" s="18"/>
      <c r="D79" s="18"/>
      <c r="E79" s="18"/>
      <c r="F79" s="18"/>
      <c r="G79" s="18"/>
      <c r="H79" s="18"/>
      <c r="I79" s="18" t="str">
        <f aca="false">IF(COUNT(D79:H79)&lt;5,"",ROUND(SUMPRODUCT(D79:H79,$D$2:$H$2)/100,2))</f>
        <v/>
      </c>
      <c r="J79" s="18" t="str">
        <f aca="false">IF(I79="","",IF(I79&gt;=$L$2,"S",IF(I79&gt;=$L$3,"A",IF(I79&gt;=$L$4,"B","C"))))</f>
        <v/>
      </c>
      <c r="K79" s="18"/>
      <c r="L79" s="18"/>
      <c r="M79" s="18"/>
    </row>
    <row r="80" customFormat="false" ht="15" hidden="false" customHeight="false" outlineLevel="0" collapsed="false">
      <c r="A80" s="18"/>
      <c r="B80" s="18"/>
      <c r="C80" s="18"/>
      <c r="D80" s="18"/>
      <c r="E80" s="18"/>
      <c r="F80" s="18"/>
      <c r="G80" s="18"/>
      <c r="H80" s="18"/>
      <c r="I80" s="18" t="str">
        <f aca="false">IF(COUNT(D80:H80)&lt;5,"",ROUND(SUMPRODUCT(D80:H80,$D$2:$H$2)/100,2))</f>
        <v/>
      </c>
      <c r="J80" s="18" t="str">
        <f aca="false">IF(I80="","",IF(I80&gt;=$L$2,"S",IF(I80&gt;=$L$3,"A",IF(I80&gt;=$L$4,"B","C"))))</f>
        <v/>
      </c>
      <c r="K80" s="18"/>
      <c r="L80" s="18"/>
      <c r="M80" s="18"/>
    </row>
    <row r="81" customFormat="false" ht="15" hidden="false" customHeight="false" outlineLevel="0" collapsed="false">
      <c r="A81" s="18"/>
      <c r="B81" s="18"/>
      <c r="C81" s="18"/>
      <c r="D81" s="18"/>
      <c r="E81" s="18"/>
      <c r="F81" s="18"/>
      <c r="G81" s="18"/>
      <c r="H81" s="18"/>
      <c r="I81" s="18" t="str">
        <f aca="false">IF(COUNT(D81:H81)&lt;5,"",ROUND(SUMPRODUCT(D81:H81,$D$2:$H$2)/100,2))</f>
        <v/>
      </c>
      <c r="J81" s="18" t="str">
        <f aca="false">IF(I81="","",IF(I81&gt;=$L$2,"S",IF(I81&gt;=$L$3,"A",IF(I81&gt;=$L$4,"B","C"))))</f>
        <v/>
      </c>
      <c r="K81" s="18"/>
      <c r="L81" s="18"/>
      <c r="M81" s="18"/>
    </row>
    <row r="82" customFormat="false" ht="15" hidden="false" customHeight="false" outlineLevel="0" collapsed="false">
      <c r="A82" s="18"/>
      <c r="B82" s="18"/>
      <c r="C82" s="18"/>
      <c r="D82" s="18"/>
      <c r="E82" s="18"/>
      <c r="F82" s="18"/>
      <c r="G82" s="18"/>
      <c r="H82" s="18"/>
      <c r="I82" s="18" t="str">
        <f aca="false">IF(COUNT(D82:H82)&lt;5,"",ROUND(SUMPRODUCT(D82:H82,$D$2:$H$2)/100,2))</f>
        <v/>
      </c>
      <c r="J82" s="18" t="str">
        <f aca="false">IF(I82="","",IF(I82&gt;=$L$2,"S",IF(I82&gt;=$L$3,"A",IF(I82&gt;=$L$4,"B","C"))))</f>
        <v/>
      </c>
      <c r="K82" s="18"/>
      <c r="L82" s="18"/>
      <c r="M82" s="18"/>
    </row>
    <row r="83" customFormat="false" ht="15" hidden="false" customHeight="false" outlineLevel="0" collapsed="false">
      <c r="A83" s="18"/>
      <c r="B83" s="18"/>
      <c r="C83" s="18"/>
      <c r="D83" s="18"/>
      <c r="E83" s="18"/>
      <c r="F83" s="18"/>
      <c r="G83" s="18"/>
      <c r="H83" s="18"/>
      <c r="I83" s="18" t="str">
        <f aca="false">IF(COUNT(D83:H83)&lt;5,"",ROUND(SUMPRODUCT(D83:H83,$D$2:$H$2)/100,2))</f>
        <v/>
      </c>
      <c r="J83" s="18" t="str">
        <f aca="false">IF(I83="","",IF(I83&gt;=$L$2,"S",IF(I83&gt;=$L$3,"A",IF(I83&gt;=$L$4,"B","C"))))</f>
        <v/>
      </c>
      <c r="K83" s="18"/>
      <c r="L83" s="18"/>
      <c r="M83" s="18"/>
    </row>
    <row r="84" customFormat="false" ht="15" hidden="false" customHeight="false" outlineLevel="0" collapsed="false">
      <c r="A84" s="18"/>
      <c r="B84" s="18"/>
      <c r="C84" s="18"/>
      <c r="D84" s="18"/>
      <c r="E84" s="18"/>
      <c r="F84" s="18"/>
      <c r="G84" s="18"/>
      <c r="H84" s="18"/>
      <c r="I84" s="18" t="str">
        <f aca="false">IF(COUNT(D84:H84)&lt;5,"",ROUND(SUMPRODUCT(D84:H84,$D$2:$H$2)/100,2))</f>
        <v/>
      </c>
      <c r="J84" s="18" t="str">
        <f aca="false">IF(I84="","",IF(I84&gt;=$L$2,"S",IF(I84&gt;=$L$3,"A",IF(I84&gt;=$L$4,"B","C"))))</f>
        <v/>
      </c>
      <c r="K84" s="18"/>
      <c r="L84" s="18"/>
      <c r="M84" s="18"/>
    </row>
    <row r="85" customFormat="false" ht="15" hidden="false" customHeight="false" outlineLevel="0" collapsed="false">
      <c r="A85" s="18"/>
      <c r="B85" s="18"/>
      <c r="C85" s="18"/>
      <c r="D85" s="18"/>
      <c r="E85" s="18"/>
      <c r="F85" s="18"/>
      <c r="G85" s="18"/>
      <c r="H85" s="18"/>
      <c r="I85" s="18" t="str">
        <f aca="false">IF(COUNT(D85:H85)&lt;5,"",ROUND(SUMPRODUCT(D85:H85,$D$2:$H$2)/100,2))</f>
        <v/>
      </c>
      <c r="J85" s="18" t="str">
        <f aca="false">IF(I85="","",IF(I85&gt;=$L$2,"S",IF(I85&gt;=$L$3,"A",IF(I85&gt;=$L$4,"B","C"))))</f>
        <v/>
      </c>
      <c r="K85" s="18"/>
      <c r="L85" s="18"/>
      <c r="M85" s="18"/>
    </row>
    <row r="86" customFormat="false" ht="15" hidden="false" customHeight="false" outlineLevel="0" collapsed="false">
      <c r="A86" s="18"/>
      <c r="B86" s="18"/>
      <c r="C86" s="18"/>
      <c r="D86" s="18"/>
      <c r="E86" s="18"/>
      <c r="F86" s="18"/>
      <c r="G86" s="18"/>
      <c r="H86" s="18"/>
      <c r="I86" s="18" t="str">
        <f aca="false">IF(COUNT(D86:H86)&lt;5,"",ROUND(SUMPRODUCT(D86:H86,$D$2:$H$2)/100,2))</f>
        <v/>
      </c>
      <c r="J86" s="18" t="str">
        <f aca="false">IF(I86="","",IF(I86&gt;=$L$2,"S",IF(I86&gt;=$L$3,"A",IF(I86&gt;=$L$4,"B","C"))))</f>
        <v/>
      </c>
      <c r="K86" s="18"/>
      <c r="L86" s="18"/>
      <c r="M86" s="18"/>
    </row>
    <row r="87" customFormat="false" ht="15" hidden="false" customHeight="false" outlineLevel="0" collapsed="false">
      <c r="A87" s="18"/>
      <c r="B87" s="18"/>
      <c r="C87" s="18"/>
      <c r="D87" s="18"/>
      <c r="E87" s="18"/>
      <c r="F87" s="18"/>
      <c r="G87" s="18"/>
      <c r="H87" s="18"/>
      <c r="I87" s="18" t="str">
        <f aca="false">IF(COUNT(D87:H87)&lt;5,"",ROUND(SUMPRODUCT(D87:H87,$D$2:$H$2)/100,2))</f>
        <v/>
      </c>
      <c r="J87" s="18" t="str">
        <f aca="false">IF(I87="","",IF(I87&gt;=$L$2,"S",IF(I87&gt;=$L$3,"A",IF(I87&gt;=$L$4,"B","C"))))</f>
        <v/>
      </c>
      <c r="K87" s="18"/>
      <c r="L87" s="18"/>
      <c r="M87" s="18"/>
    </row>
    <row r="88" customFormat="false" ht="15" hidden="false" customHeight="false" outlineLevel="0" collapsed="false">
      <c r="A88" s="18"/>
      <c r="B88" s="18"/>
      <c r="C88" s="18"/>
      <c r="D88" s="18"/>
      <c r="E88" s="18"/>
      <c r="F88" s="18"/>
      <c r="G88" s="18"/>
      <c r="H88" s="18"/>
      <c r="I88" s="18" t="str">
        <f aca="false">IF(COUNT(D88:H88)&lt;5,"",ROUND(SUMPRODUCT(D88:H88,$D$2:$H$2)/100,2))</f>
        <v/>
      </c>
      <c r="J88" s="18" t="str">
        <f aca="false">IF(I88="","",IF(I88&gt;=$L$2,"S",IF(I88&gt;=$L$3,"A",IF(I88&gt;=$L$4,"B","C"))))</f>
        <v/>
      </c>
      <c r="K88" s="18"/>
      <c r="L88" s="18"/>
      <c r="M88" s="18"/>
    </row>
    <row r="89" customFormat="false" ht="15" hidden="false" customHeight="false" outlineLevel="0" collapsed="false">
      <c r="A89" s="18"/>
      <c r="B89" s="18"/>
      <c r="C89" s="18"/>
      <c r="D89" s="18"/>
      <c r="E89" s="18"/>
      <c r="F89" s="18"/>
      <c r="G89" s="18"/>
      <c r="H89" s="18"/>
      <c r="I89" s="18" t="str">
        <f aca="false">IF(COUNT(D89:H89)&lt;5,"",ROUND(SUMPRODUCT(D89:H89,$D$2:$H$2)/100,2))</f>
        <v/>
      </c>
      <c r="J89" s="18" t="str">
        <f aca="false">IF(I89="","",IF(I89&gt;=$L$2,"S",IF(I89&gt;=$L$3,"A",IF(I89&gt;=$L$4,"B","C"))))</f>
        <v/>
      </c>
      <c r="K89" s="18"/>
      <c r="L89" s="18"/>
      <c r="M89" s="18"/>
    </row>
    <row r="90" customFormat="false" ht="15" hidden="false" customHeight="false" outlineLevel="0" collapsed="false">
      <c r="A90" s="18"/>
      <c r="B90" s="18"/>
      <c r="C90" s="18"/>
      <c r="D90" s="18"/>
      <c r="E90" s="18"/>
      <c r="F90" s="18"/>
      <c r="G90" s="18"/>
      <c r="H90" s="18"/>
      <c r="I90" s="18" t="str">
        <f aca="false">IF(COUNT(D90:H90)&lt;5,"",ROUND(SUMPRODUCT(D90:H90,$D$2:$H$2)/100,2))</f>
        <v/>
      </c>
      <c r="J90" s="18" t="str">
        <f aca="false">IF(I90="","",IF(I90&gt;=$L$2,"S",IF(I90&gt;=$L$3,"A",IF(I90&gt;=$L$4,"B","C"))))</f>
        <v/>
      </c>
      <c r="K90" s="18"/>
      <c r="L90" s="18"/>
      <c r="M90" s="18"/>
    </row>
    <row r="91" customFormat="false" ht="15" hidden="false" customHeight="false" outlineLevel="0" collapsed="false">
      <c r="A91" s="18"/>
      <c r="B91" s="18"/>
      <c r="C91" s="18"/>
      <c r="D91" s="18"/>
      <c r="E91" s="18"/>
      <c r="F91" s="18"/>
      <c r="G91" s="18"/>
      <c r="H91" s="18"/>
      <c r="I91" s="18" t="str">
        <f aca="false">IF(COUNT(D91:H91)&lt;5,"",ROUND(SUMPRODUCT(D91:H91,$D$2:$H$2)/100,2))</f>
        <v/>
      </c>
      <c r="J91" s="18" t="str">
        <f aca="false">IF(I91="","",IF(I91&gt;=$L$2,"S",IF(I91&gt;=$L$3,"A",IF(I91&gt;=$L$4,"B","C"))))</f>
        <v/>
      </c>
      <c r="K91" s="18"/>
      <c r="L91" s="18"/>
      <c r="M91" s="18"/>
    </row>
    <row r="92" customFormat="false" ht="15" hidden="false" customHeight="false" outlineLevel="0" collapsed="false">
      <c r="A92" s="18"/>
      <c r="B92" s="18"/>
      <c r="C92" s="18"/>
      <c r="D92" s="18"/>
      <c r="E92" s="18"/>
      <c r="F92" s="18"/>
      <c r="G92" s="18"/>
      <c r="H92" s="18"/>
      <c r="I92" s="18" t="str">
        <f aca="false">IF(COUNT(D92:H92)&lt;5,"",ROUND(SUMPRODUCT(D92:H92,$D$2:$H$2)/100,2))</f>
        <v/>
      </c>
      <c r="J92" s="18" t="str">
        <f aca="false">IF(I92="","",IF(I92&gt;=$L$2,"S",IF(I92&gt;=$L$3,"A",IF(I92&gt;=$L$4,"B","C"))))</f>
        <v/>
      </c>
      <c r="K92" s="18"/>
      <c r="L92" s="18"/>
      <c r="M92" s="18"/>
    </row>
    <row r="93" customFormat="false" ht="15" hidden="false" customHeight="false" outlineLevel="0" collapsed="false">
      <c r="A93" s="18"/>
      <c r="B93" s="18"/>
      <c r="C93" s="18"/>
      <c r="D93" s="18"/>
      <c r="E93" s="18"/>
      <c r="F93" s="18"/>
      <c r="G93" s="18"/>
      <c r="H93" s="18"/>
      <c r="I93" s="18" t="str">
        <f aca="false">IF(COUNT(D93:H93)&lt;5,"",ROUND(SUMPRODUCT(D93:H93,$D$2:$H$2)/100,2))</f>
        <v/>
      </c>
      <c r="J93" s="18" t="str">
        <f aca="false">IF(I93="","",IF(I93&gt;=$L$2,"S",IF(I93&gt;=$L$3,"A",IF(I93&gt;=$L$4,"B","C"))))</f>
        <v/>
      </c>
      <c r="K93" s="18"/>
      <c r="L93" s="18"/>
      <c r="M93" s="18"/>
    </row>
    <row r="94" customFormat="false" ht="15" hidden="false" customHeight="false" outlineLevel="0" collapsed="false">
      <c r="A94" s="18"/>
      <c r="B94" s="18"/>
      <c r="C94" s="18"/>
      <c r="D94" s="18"/>
      <c r="E94" s="18"/>
      <c r="F94" s="18"/>
      <c r="G94" s="18"/>
      <c r="H94" s="18"/>
      <c r="I94" s="18" t="str">
        <f aca="false">IF(COUNT(D94:H94)&lt;5,"",ROUND(SUMPRODUCT(D94:H94,$D$2:$H$2)/100,2))</f>
        <v/>
      </c>
      <c r="J94" s="18" t="str">
        <f aca="false">IF(I94="","",IF(I94&gt;=$L$2,"S",IF(I94&gt;=$L$3,"A",IF(I94&gt;=$L$4,"B","C"))))</f>
        <v/>
      </c>
      <c r="K94" s="18"/>
      <c r="L94" s="18"/>
      <c r="M94" s="18"/>
    </row>
    <row r="95" customFormat="false" ht="15" hidden="false" customHeight="false" outlineLevel="0" collapsed="false">
      <c r="A95" s="18"/>
      <c r="B95" s="18"/>
      <c r="C95" s="18"/>
      <c r="D95" s="18"/>
      <c r="E95" s="18"/>
      <c r="F95" s="18"/>
      <c r="G95" s="18"/>
      <c r="H95" s="18"/>
      <c r="I95" s="18" t="str">
        <f aca="false">IF(COUNT(D95:H95)&lt;5,"",ROUND(SUMPRODUCT(D95:H95,$D$2:$H$2)/100,2))</f>
        <v/>
      </c>
      <c r="J95" s="18" t="str">
        <f aca="false">IF(I95="","",IF(I95&gt;=$L$2,"S",IF(I95&gt;=$L$3,"A",IF(I95&gt;=$L$4,"B","C"))))</f>
        <v/>
      </c>
      <c r="K95" s="18"/>
      <c r="L95" s="18"/>
      <c r="M95" s="18"/>
    </row>
    <row r="96" customFormat="false" ht="15" hidden="false" customHeight="false" outlineLevel="0" collapsed="false">
      <c r="A96" s="18"/>
      <c r="B96" s="18"/>
      <c r="C96" s="18"/>
      <c r="D96" s="18"/>
      <c r="E96" s="18"/>
      <c r="F96" s="18"/>
      <c r="G96" s="18"/>
      <c r="H96" s="18"/>
      <c r="I96" s="18" t="str">
        <f aca="false">IF(COUNT(D96:H96)&lt;5,"",ROUND(SUMPRODUCT(D96:H96,$D$2:$H$2)/100,2))</f>
        <v/>
      </c>
      <c r="J96" s="18" t="str">
        <f aca="false">IF(I96="","",IF(I96&gt;=$L$2,"S",IF(I96&gt;=$L$3,"A",IF(I96&gt;=$L$4,"B","C"))))</f>
        <v/>
      </c>
      <c r="K96" s="18"/>
      <c r="L96" s="18"/>
      <c r="M96" s="18"/>
    </row>
    <row r="97" customFormat="false" ht="15" hidden="false" customHeight="false" outlineLevel="0" collapsed="false">
      <c r="A97" s="18"/>
      <c r="B97" s="18"/>
      <c r="C97" s="18"/>
      <c r="D97" s="18"/>
      <c r="E97" s="18"/>
      <c r="F97" s="18"/>
      <c r="G97" s="18"/>
      <c r="H97" s="18"/>
      <c r="I97" s="18" t="str">
        <f aca="false">IF(COUNT(D97:H97)&lt;5,"",ROUND(SUMPRODUCT(D97:H97,$D$2:$H$2)/100,2))</f>
        <v/>
      </c>
      <c r="J97" s="18" t="str">
        <f aca="false">IF(I97="","",IF(I97&gt;=$L$2,"S",IF(I97&gt;=$L$3,"A",IF(I97&gt;=$L$4,"B","C"))))</f>
        <v/>
      </c>
      <c r="K97" s="18"/>
      <c r="L97" s="18"/>
      <c r="M97" s="18"/>
    </row>
    <row r="98" customFormat="false" ht="15" hidden="false" customHeight="false" outlineLevel="0" collapsed="false">
      <c r="A98" s="18"/>
      <c r="B98" s="18"/>
      <c r="C98" s="18"/>
      <c r="D98" s="18"/>
      <c r="E98" s="18"/>
      <c r="F98" s="18"/>
      <c r="G98" s="18"/>
      <c r="H98" s="18"/>
      <c r="I98" s="18" t="str">
        <f aca="false">IF(COUNT(D98:H98)&lt;5,"",ROUND(SUMPRODUCT(D98:H98,$D$2:$H$2)/100,2))</f>
        <v/>
      </c>
      <c r="J98" s="18" t="str">
        <f aca="false">IF(I98="","",IF(I98&gt;=$L$2,"S",IF(I98&gt;=$L$3,"A",IF(I98&gt;=$L$4,"B","C"))))</f>
        <v/>
      </c>
      <c r="K98" s="18"/>
      <c r="L98" s="18"/>
      <c r="M98" s="18"/>
    </row>
    <row r="99" customFormat="false" ht="15" hidden="false" customHeight="false" outlineLevel="0" collapsed="false">
      <c r="A99" s="18"/>
      <c r="B99" s="18"/>
      <c r="C99" s="18"/>
      <c r="D99" s="18"/>
      <c r="E99" s="18"/>
      <c r="F99" s="18"/>
      <c r="G99" s="18"/>
      <c r="H99" s="18"/>
      <c r="I99" s="18" t="str">
        <f aca="false">IF(COUNT(D99:H99)&lt;5,"",ROUND(SUMPRODUCT(D99:H99,$D$2:$H$2)/100,2))</f>
        <v/>
      </c>
      <c r="J99" s="18" t="str">
        <f aca="false">IF(I99="","",IF(I99&gt;=$L$2,"S",IF(I99&gt;=$L$3,"A",IF(I99&gt;=$L$4,"B","C"))))</f>
        <v/>
      </c>
      <c r="K99" s="18"/>
      <c r="L99" s="18"/>
      <c r="M99" s="18"/>
    </row>
    <row r="100" customFormat="false" ht="15" hidden="false" customHeight="false" outlineLevel="0" collapsed="false">
      <c r="A100" s="18"/>
      <c r="B100" s="18"/>
      <c r="C100" s="18"/>
      <c r="D100" s="18"/>
      <c r="E100" s="18"/>
      <c r="F100" s="18"/>
      <c r="G100" s="18"/>
      <c r="H100" s="18"/>
      <c r="I100" s="18" t="str">
        <f aca="false">IF(COUNT(D100:H100)&lt;5,"",ROUND(SUMPRODUCT(D100:H100,$D$2:$H$2)/100,2))</f>
        <v/>
      </c>
      <c r="J100" s="18" t="str">
        <f aca="false">IF(I100="","",IF(I100&gt;=$L$2,"S",IF(I100&gt;=$L$3,"A",IF(I100&gt;=$L$4,"B","C"))))</f>
        <v/>
      </c>
      <c r="K100" s="18"/>
      <c r="L100" s="18"/>
      <c r="M100" s="18"/>
    </row>
    <row r="101" customFormat="false" ht="15" hidden="false" customHeight="false" outlineLevel="0" collapsed="false">
      <c r="A101" s="18"/>
      <c r="B101" s="18"/>
      <c r="C101" s="18"/>
      <c r="D101" s="18"/>
      <c r="E101" s="18"/>
      <c r="F101" s="18"/>
      <c r="G101" s="18"/>
      <c r="H101" s="18"/>
      <c r="I101" s="18" t="str">
        <f aca="false">IF(COUNT(D101:H101)&lt;5,"",ROUND(SUMPRODUCT(D101:H101,$D$2:$H$2)/100,2))</f>
        <v/>
      </c>
      <c r="J101" s="18" t="str">
        <f aca="false">IF(I101="","",IF(I101&gt;=$L$2,"S",IF(I101&gt;=$L$3,"A",IF(I101&gt;=$L$4,"B","C"))))</f>
        <v/>
      </c>
      <c r="K101" s="18"/>
      <c r="L101" s="18"/>
      <c r="M101" s="18"/>
    </row>
    <row r="102" customFormat="false" ht="15" hidden="false" customHeight="false" outlineLevel="0" collapsed="false">
      <c r="A102" s="18"/>
      <c r="B102" s="18"/>
      <c r="C102" s="18"/>
      <c r="D102" s="18"/>
      <c r="E102" s="18"/>
      <c r="F102" s="18"/>
      <c r="G102" s="18"/>
      <c r="H102" s="18"/>
      <c r="I102" s="18" t="str">
        <f aca="false">IF(COUNT(D102:H102)&lt;5,"",ROUND(SUMPRODUCT(D102:H102,$D$2:$H$2)/100,2))</f>
        <v/>
      </c>
      <c r="J102" s="18" t="str">
        <f aca="false">IF(I102="","",IF(I102&gt;=$L$2,"S",IF(I102&gt;=$L$3,"A",IF(I102&gt;=$L$4,"B","C"))))</f>
        <v/>
      </c>
      <c r="K102" s="18"/>
      <c r="L102" s="18"/>
      <c r="M102" s="18"/>
    </row>
    <row r="103" customFormat="false" ht="15" hidden="false" customHeight="false" outlineLevel="0" collapsed="false">
      <c r="A103" s="18"/>
      <c r="B103" s="18"/>
      <c r="C103" s="18"/>
      <c r="D103" s="18"/>
      <c r="E103" s="18"/>
      <c r="F103" s="18"/>
      <c r="G103" s="18"/>
      <c r="H103" s="18"/>
      <c r="I103" s="18" t="str">
        <f aca="false">IF(COUNT(D103:H103)&lt;5,"",ROUND(SUMPRODUCT(D103:H103,$D$2:$H$2)/100,2))</f>
        <v/>
      </c>
      <c r="J103" s="18" t="str">
        <f aca="false">IF(I103="","",IF(I103&gt;=$L$2,"S",IF(I103&gt;=$L$3,"A",IF(I103&gt;=$L$4,"B","C"))))</f>
        <v/>
      </c>
      <c r="K103" s="18"/>
      <c r="L103" s="18"/>
      <c r="M103" s="18"/>
    </row>
    <row r="104" customFormat="false" ht="15" hidden="false" customHeight="false" outlineLevel="0" collapsed="false">
      <c r="A104" s="18"/>
      <c r="B104" s="18"/>
      <c r="C104" s="18"/>
      <c r="D104" s="18"/>
      <c r="E104" s="18"/>
      <c r="F104" s="18"/>
      <c r="G104" s="18"/>
      <c r="H104" s="18"/>
      <c r="I104" s="18" t="str">
        <f aca="false">IF(COUNT(D104:H104)&lt;5,"",ROUND(SUMPRODUCT(D104:H104,$D$2:$H$2)/100,2))</f>
        <v/>
      </c>
      <c r="J104" s="18" t="str">
        <f aca="false">IF(I104="","",IF(I104&gt;=$L$2,"S",IF(I104&gt;=$L$3,"A",IF(I104&gt;=$L$4,"B","C"))))</f>
        <v/>
      </c>
      <c r="K104" s="18"/>
      <c r="L104" s="18"/>
      <c r="M104" s="18"/>
    </row>
    <row r="105" customFormat="false" ht="15" hidden="false" customHeight="false" outlineLevel="0" collapsed="false">
      <c r="A105" s="18"/>
      <c r="B105" s="18"/>
      <c r="C105" s="18"/>
      <c r="D105" s="18"/>
      <c r="E105" s="18"/>
      <c r="F105" s="18"/>
      <c r="G105" s="18"/>
      <c r="H105" s="18"/>
      <c r="I105" s="18" t="str">
        <f aca="false">IF(COUNT(D105:H105)&lt;5,"",ROUND(SUMPRODUCT(D105:H105,$D$2:$H$2)/100,2))</f>
        <v/>
      </c>
      <c r="J105" s="18" t="str">
        <f aca="false">IF(I105="","",IF(I105&gt;=$L$2,"S",IF(I105&gt;=$L$3,"A",IF(I105&gt;=$L$4,"B","C"))))</f>
        <v/>
      </c>
      <c r="K105" s="18"/>
      <c r="L105" s="18"/>
      <c r="M105" s="18"/>
    </row>
    <row r="106" customFormat="false" ht="15" hidden="false" customHeight="false" outlineLevel="0" collapsed="false">
      <c r="A106" s="18"/>
      <c r="B106" s="18"/>
      <c r="C106" s="18"/>
      <c r="D106" s="18"/>
      <c r="E106" s="18"/>
      <c r="F106" s="18"/>
      <c r="G106" s="18"/>
      <c r="H106" s="18"/>
      <c r="I106" s="18" t="str">
        <f aca="false">IF(COUNT(D106:H106)&lt;5,"",ROUND(SUMPRODUCT(D106:H106,$D$2:$H$2)/100,2))</f>
        <v/>
      </c>
      <c r="J106" s="18" t="str">
        <f aca="false">IF(I106="","",IF(I106&gt;=$L$2,"S",IF(I106&gt;=$L$3,"A",IF(I106&gt;=$L$4,"B","C"))))</f>
        <v/>
      </c>
      <c r="K106" s="18"/>
      <c r="L106" s="18"/>
      <c r="M106" s="18"/>
    </row>
    <row r="107" customFormat="false" ht="15" hidden="false" customHeight="false" outlineLevel="0" collapsed="false">
      <c r="A107" s="18"/>
      <c r="B107" s="18"/>
      <c r="C107" s="18"/>
      <c r="D107" s="18"/>
      <c r="E107" s="18"/>
      <c r="F107" s="18"/>
      <c r="G107" s="18"/>
      <c r="H107" s="18"/>
      <c r="I107" s="18" t="str">
        <f aca="false">IF(COUNT(D107:H107)&lt;5,"",ROUND(SUMPRODUCT(D107:H107,$D$2:$H$2)/100,2))</f>
        <v/>
      </c>
      <c r="J107" s="18" t="str">
        <f aca="false">IF(I107="","",IF(I107&gt;=$L$2,"S",IF(I107&gt;=$L$3,"A",IF(I107&gt;=$L$4,"B","C"))))</f>
        <v/>
      </c>
      <c r="K107" s="18"/>
      <c r="L107" s="18"/>
      <c r="M107" s="18"/>
    </row>
    <row r="108" customFormat="false" ht="15" hidden="false" customHeight="false" outlineLevel="0" collapsed="false">
      <c r="A108" s="18"/>
      <c r="B108" s="18"/>
      <c r="C108" s="18"/>
      <c r="D108" s="18"/>
      <c r="E108" s="18"/>
      <c r="F108" s="18"/>
      <c r="G108" s="18"/>
      <c r="H108" s="18"/>
      <c r="I108" s="18" t="str">
        <f aca="false">IF(COUNT(D108:H108)&lt;5,"",ROUND(SUMPRODUCT(D108:H108,$D$2:$H$2)/100,2))</f>
        <v/>
      </c>
      <c r="J108" s="18" t="str">
        <f aca="false">IF(I108="","",IF(I108&gt;=$L$2,"S",IF(I108&gt;=$L$3,"A",IF(I108&gt;=$L$4,"B","C"))))</f>
        <v/>
      </c>
      <c r="K108" s="18"/>
      <c r="L108" s="18"/>
      <c r="M108" s="18"/>
    </row>
    <row r="109" customFormat="false" ht="15" hidden="false" customHeight="false" outlineLevel="0" collapsed="false">
      <c r="A109" s="18"/>
      <c r="B109" s="18"/>
      <c r="C109" s="18"/>
      <c r="D109" s="18"/>
      <c r="E109" s="18"/>
      <c r="F109" s="18"/>
      <c r="G109" s="18"/>
      <c r="H109" s="18"/>
      <c r="I109" s="18" t="str">
        <f aca="false">IF(COUNT(D109:H109)&lt;5,"",ROUND(SUMPRODUCT(D109:H109,$D$2:$H$2)/100,2))</f>
        <v/>
      </c>
      <c r="J109" s="18" t="str">
        <f aca="false">IF(I109="","",IF(I109&gt;=$L$2,"S",IF(I109&gt;=$L$3,"A",IF(I109&gt;=$L$4,"B","C"))))</f>
        <v/>
      </c>
      <c r="K109" s="18"/>
      <c r="L109" s="18"/>
      <c r="M109" s="18"/>
    </row>
    <row r="110" customFormat="false" ht="15" hidden="false" customHeight="false" outlineLevel="0" collapsed="false">
      <c r="A110" s="18"/>
      <c r="B110" s="18"/>
      <c r="C110" s="18"/>
      <c r="D110" s="18"/>
      <c r="E110" s="18"/>
      <c r="F110" s="18"/>
      <c r="G110" s="18"/>
      <c r="H110" s="18"/>
      <c r="I110" s="18" t="str">
        <f aca="false">IF(COUNT(D110:H110)&lt;5,"",ROUND(SUMPRODUCT(D110:H110,$D$2:$H$2)/100,2))</f>
        <v/>
      </c>
      <c r="J110" s="18" t="str">
        <f aca="false">IF(I110="","",IF(I110&gt;=$L$2,"S",IF(I110&gt;=$L$3,"A",IF(I110&gt;=$L$4,"B","C"))))</f>
        <v/>
      </c>
      <c r="K110" s="18"/>
      <c r="L110" s="18"/>
      <c r="M110" s="18"/>
    </row>
    <row r="111" customFormat="false" ht="15" hidden="false" customHeight="false" outlineLevel="0" collapsed="false">
      <c r="A111" s="18"/>
      <c r="B111" s="18"/>
      <c r="C111" s="18"/>
      <c r="D111" s="18"/>
      <c r="E111" s="18"/>
      <c r="F111" s="18"/>
      <c r="G111" s="18"/>
      <c r="H111" s="18"/>
      <c r="I111" s="18" t="str">
        <f aca="false">IF(COUNT(D111:H111)&lt;5,"",ROUND(SUMPRODUCT(D111:H111,$D$2:$H$2)/100,2))</f>
        <v/>
      </c>
      <c r="J111" s="18" t="str">
        <f aca="false">IF(I111="","",IF(I111&gt;=$L$2,"S",IF(I111&gt;=$L$3,"A",IF(I111&gt;=$L$4,"B","C"))))</f>
        <v/>
      </c>
      <c r="K111" s="18"/>
      <c r="L111" s="18"/>
      <c r="M111" s="18"/>
    </row>
    <row r="112" customFormat="false" ht="15" hidden="false" customHeight="false" outlineLevel="0" collapsed="false">
      <c r="A112" s="18"/>
      <c r="B112" s="18"/>
      <c r="C112" s="18"/>
      <c r="D112" s="18"/>
      <c r="E112" s="18"/>
      <c r="F112" s="18"/>
      <c r="G112" s="18"/>
      <c r="H112" s="18"/>
      <c r="I112" s="18" t="str">
        <f aca="false">IF(COUNT(D112:H112)&lt;5,"",ROUND(SUMPRODUCT(D112:H112,$D$2:$H$2)/100,2))</f>
        <v/>
      </c>
      <c r="J112" s="18" t="str">
        <f aca="false">IF(I112="","",IF(I112&gt;=$L$2,"S",IF(I112&gt;=$L$3,"A",IF(I112&gt;=$L$4,"B","C"))))</f>
        <v/>
      </c>
      <c r="K112" s="18"/>
      <c r="L112" s="18"/>
      <c r="M112" s="18"/>
    </row>
    <row r="113" customFormat="false" ht="15" hidden="false" customHeight="false" outlineLevel="0" collapsed="false">
      <c r="A113" s="18"/>
      <c r="B113" s="18"/>
      <c r="C113" s="18"/>
      <c r="D113" s="18"/>
      <c r="E113" s="18"/>
      <c r="F113" s="18"/>
      <c r="G113" s="18"/>
      <c r="H113" s="18"/>
      <c r="I113" s="18" t="str">
        <f aca="false">IF(COUNT(D113:H113)&lt;5,"",ROUND(SUMPRODUCT(D113:H113,$D$2:$H$2)/100,2))</f>
        <v/>
      </c>
      <c r="J113" s="18" t="str">
        <f aca="false">IF(I113="","",IF(I113&gt;=$L$2,"S",IF(I113&gt;=$L$3,"A",IF(I113&gt;=$L$4,"B","C"))))</f>
        <v/>
      </c>
      <c r="K113" s="18"/>
      <c r="L113" s="18"/>
      <c r="M113" s="18"/>
    </row>
    <row r="114" customFormat="false" ht="15" hidden="false" customHeight="false" outlineLevel="0" collapsed="false">
      <c r="A114" s="18"/>
      <c r="B114" s="18"/>
      <c r="C114" s="18"/>
      <c r="D114" s="18"/>
      <c r="E114" s="18"/>
      <c r="F114" s="18"/>
      <c r="G114" s="18"/>
      <c r="H114" s="18"/>
      <c r="I114" s="18" t="str">
        <f aca="false">IF(COUNT(D114:H114)&lt;5,"",ROUND(SUMPRODUCT(D114:H114,$D$2:$H$2)/100,2))</f>
        <v/>
      </c>
      <c r="J114" s="18" t="str">
        <f aca="false">IF(I114="","",IF(I114&gt;=$L$2,"S",IF(I114&gt;=$L$3,"A",IF(I114&gt;=$L$4,"B","C"))))</f>
        <v/>
      </c>
      <c r="K114" s="18"/>
      <c r="L114" s="18"/>
      <c r="M114" s="18"/>
    </row>
    <row r="115" customFormat="false" ht="15" hidden="false" customHeight="false" outlineLevel="0" collapsed="false">
      <c r="A115" s="18"/>
      <c r="B115" s="18"/>
      <c r="C115" s="18"/>
      <c r="D115" s="18"/>
      <c r="E115" s="18"/>
      <c r="F115" s="18"/>
      <c r="G115" s="18"/>
      <c r="H115" s="18"/>
      <c r="I115" s="18" t="str">
        <f aca="false">IF(COUNT(D115:H115)&lt;5,"",ROUND(SUMPRODUCT(D115:H115,$D$2:$H$2)/100,2))</f>
        <v/>
      </c>
      <c r="J115" s="18" t="str">
        <f aca="false">IF(I115="","",IF(I115&gt;=$L$2,"S",IF(I115&gt;=$L$3,"A",IF(I115&gt;=$L$4,"B","C"))))</f>
        <v/>
      </c>
      <c r="K115" s="18"/>
      <c r="L115" s="18"/>
      <c r="M115" s="18"/>
    </row>
    <row r="116" customFormat="false" ht="15" hidden="false" customHeight="false" outlineLevel="0" collapsed="false">
      <c r="A116" s="18"/>
      <c r="B116" s="18"/>
      <c r="C116" s="18"/>
      <c r="D116" s="18"/>
      <c r="E116" s="18"/>
      <c r="F116" s="18"/>
      <c r="G116" s="18"/>
      <c r="H116" s="18"/>
      <c r="I116" s="18" t="str">
        <f aca="false">IF(COUNT(D116:H116)&lt;5,"",ROUND(SUMPRODUCT(D116:H116,$D$2:$H$2)/100,2))</f>
        <v/>
      </c>
      <c r="J116" s="18" t="str">
        <f aca="false">IF(I116="","",IF(I116&gt;=$L$2,"S",IF(I116&gt;=$L$3,"A",IF(I116&gt;=$L$4,"B","C"))))</f>
        <v/>
      </c>
      <c r="K116" s="18"/>
      <c r="L116" s="18"/>
      <c r="M116" s="18"/>
    </row>
    <row r="117" customFormat="false" ht="15" hidden="false" customHeight="false" outlineLevel="0" collapsed="false">
      <c r="A117" s="18"/>
      <c r="B117" s="18"/>
      <c r="C117" s="18"/>
      <c r="D117" s="18"/>
      <c r="E117" s="18"/>
      <c r="F117" s="18"/>
      <c r="G117" s="18"/>
      <c r="H117" s="18"/>
      <c r="I117" s="18" t="str">
        <f aca="false">IF(COUNT(D117:H117)&lt;5,"",ROUND(SUMPRODUCT(D117:H117,$D$2:$H$2)/100,2))</f>
        <v/>
      </c>
      <c r="J117" s="18" t="str">
        <f aca="false">IF(I117="","",IF(I117&gt;=$L$2,"S",IF(I117&gt;=$L$3,"A",IF(I117&gt;=$L$4,"B","C"))))</f>
        <v/>
      </c>
      <c r="K117" s="18"/>
      <c r="L117" s="18"/>
      <c r="M117" s="18"/>
    </row>
    <row r="118" customFormat="false" ht="15" hidden="false" customHeight="false" outlineLevel="0" collapsed="false">
      <c r="A118" s="18"/>
      <c r="B118" s="18"/>
      <c r="C118" s="18"/>
      <c r="D118" s="18"/>
      <c r="E118" s="18"/>
      <c r="F118" s="18"/>
      <c r="G118" s="18"/>
      <c r="H118" s="18"/>
      <c r="I118" s="18" t="str">
        <f aca="false">IF(COUNT(D118:H118)&lt;5,"",ROUND(SUMPRODUCT(D118:H118,$D$2:$H$2)/100,2))</f>
        <v/>
      </c>
      <c r="J118" s="18" t="str">
        <f aca="false">IF(I118="","",IF(I118&gt;=$L$2,"S",IF(I118&gt;=$L$3,"A",IF(I118&gt;=$L$4,"B","C"))))</f>
        <v/>
      </c>
      <c r="K118" s="18"/>
      <c r="L118" s="18"/>
      <c r="M118" s="18"/>
    </row>
    <row r="119" customFormat="false" ht="15" hidden="false" customHeight="false" outlineLevel="0" collapsed="false">
      <c r="A119" s="18"/>
      <c r="B119" s="18"/>
      <c r="C119" s="18"/>
      <c r="D119" s="18"/>
      <c r="E119" s="18"/>
      <c r="F119" s="18"/>
      <c r="G119" s="18"/>
      <c r="H119" s="18"/>
      <c r="I119" s="18" t="str">
        <f aca="false">IF(COUNT(D119:H119)&lt;5,"",ROUND(SUMPRODUCT(D119:H119,$D$2:$H$2)/100,2))</f>
        <v/>
      </c>
      <c r="J119" s="18" t="str">
        <f aca="false">IF(I119="","",IF(I119&gt;=$L$2,"S",IF(I119&gt;=$L$3,"A",IF(I119&gt;=$L$4,"B","C"))))</f>
        <v/>
      </c>
      <c r="K119" s="18"/>
      <c r="L119" s="18"/>
      <c r="M119" s="18"/>
    </row>
    <row r="120" customFormat="false" ht="15" hidden="false" customHeight="false" outlineLevel="0" collapsed="false">
      <c r="A120" s="18"/>
      <c r="B120" s="18"/>
      <c r="C120" s="18"/>
      <c r="D120" s="18"/>
      <c r="E120" s="18"/>
      <c r="F120" s="18"/>
      <c r="G120" s="18"/>
      <c r="H120" s="18"/>
      <c r="I120" s="18" t="str">
        <f aca="false">IF(COUNT(D120:H120)&lt;5,"",ROUND(SUMPRODUCT(D120:H120,$D$2:$H$2)/100,2))</f>
        <v/>
      </c>
      <c r="J120" s="18" t="str">
        <f aca="false">IF(I120="","",IF(I120&gt;=$L$2,"S",IF(I120&gt;=$L$3,"A",IF(I120&gt;=$L$4,"B","C"))))</f>
        <v/>
      </c>
      <c r="K120" s="18"/>
      <c r="L120" s="18"/>
      <c r="M120" s="18"/>
    </row>
    <row r="121" customFormat="false" ht="15" hidden="false" customHeight="false" outlineLevel="0" collapsed="false">
      <c r="A121" s="18"/>
      <c r="B121" s="18"/>
      <c r="C121" s="18"/>
      <c r="D121" s="18"/>
      <c r="E121" s="18"/>
      <c r="F121" s="18"/>
      <c r="G121" s="18"/>
      <c r="H121" s="18"/>
      <c r="I121" s="18" t="str">
        <f aca="false">IF(COUNT(D121:H121)&lt;5,"",ROUND(SUMPRODUCT(D121:H121,$D$2:$H$2)/100,2))</f>
        <v/>
      </c>
      <c r="J121" s="18" t="str">
        <f aca="false">IF(I121="","",IF(I121&gt;=$L$2,"S",IF(I121&gt;=$L$3,"A",IF(I121&gt;=$L$4,"B","C"))))</f>
        <v/>
      </c>
      <c r="K121" s="18"/>
      <c r="L121" s="18"/>
      <c r="M121" s="18"/>
    </row>
    <row r="122" customFormat="false" ht="15" hidden="false" customHeight="false" outlineLevel="0" collapsed="false">
      <c r="A122" s="18"/>
      <c r="B122" s="18"/>
      <c r="C122" s="18"/>
      <c r="D122" s="18"/>
      <c r="E122" s="18"/>
      <c r="F122" s="18"/>
      <c r="G122" s="18"/>
      <c r="H122" s="18"/>
      <c r="I122" s="18" t="str">
        <f aca="false">IF(COUNT(D122:H122)&lt;5,"",ROUND(SUMPRODUCT(D122:H122,$D$2:$H$2)/100,2))</f>
        <v/>
      </c>
      <c r="J122" s="18" t="str">
        <f aca="false">IF(I122="","",IF(I122&gt;=$L$2,"S",IF(I122&gt;=$L$3,"A",IF(I122&gt;=$L$4,"B","C"))))</f>
        <v/>
      </c>
      <c r="K122" s="18"/>
      <c r="L122" s="18"/>
      <c r="M122" s="18"/>
    </row>
    <row r="123" customFormat="false" ht="15" hidden="false" customHeight="false" outlineLevel="0" collapsed="false">
      <c r="A123" s="18"/>
      <c r="B123" s="18"/>
      <c r="C123" s="18"/>
      <c r="D123" s="18"/>
      <c r="E123" s="18"/>
      <c r="F123" s="18"/>
      <c r="G123" s="18"/>
      <c r="H123" s="18"/>
      <c r="I123" s="18" t="str">
        <f aca="false">IF(COUNT(D123:H123)&lt;5,"",ROUND(SUMPRODUCT(D123:H123,$D$2:$H$2)/100,2))</f>
        <v/>
      </c>
      <c r="J123" s="18" t="str">
        <f aca="false">IF(I123="","",IF(I123&gt;=$L$2,"S",IF(I123&gt;=$L$3,"A",IF(I123&gt;=$L$4,"B","C"))))</f>
        <v/>
      </c>
      <c r="K123" s="18"/>
      <c r="L123" s="18"/>
      <c r="M123" s="18"/>
    </row>
    <row r="124" customFormat="false" ht="15" hidden="false" customHeight="false" outlineLevel="0" collapsed="false">
      <c r="A124" s="18"/>
      <c r="B124" s="18"/>
      <c r="C124" s="18"/>
      <c r="D124" s="18"/>
      <c r="E124" s="18"/>
      <c r="F124" s="18"/>
      <c r="G124" s="18"/>
      <c r="H124" s="18"/>
      <c r="I124" s="18" t="str">
        <f aca="false">IF(COUNT(D124:H124)&lt;5,"",ROUND(SUMPRODUCT(D124:H124,$D$2:$H$2)/100,2))</f>
        <v/>
      </c>
      <c r="J124" s="18" t="str">
        <f aca="false">IF(I124="","",IF(I124&gt;=$L$2,"S",IF(I124&gt;=$L$3,"A",IF(I124&gt;=$L$4,"B","C"))))</f>
        <v/>
      </c>
      <c r="K124" s="18"/>
      <c r="L124" s="18"/>
      <c r="M124" s="18"/>
    </row>
    <row r="125" customFormat="false" ht="15" hidden="false" customHeight="false" outlineLevel="0" collapsed="false">
      <c r="A125" s="18"/>
      <c r="B125" s="18"/>
      <c r="C125" s="18"/>
      <c r="D125" s="18"/>
      <c r="E125" s="18"/>
      <c r="F125" s="18"/>
      <c r="G125" s="18"/>
      <c r="H125" s="18"/>
      <c r="I125" s="18" t="str">
        <f aca="false">IF(COUNT(D125:H125)&lt;5,"",ROUND(SUMPRODUCT(D125:H125,$D$2:$H$2)/100,2))</f>
        <v/>
      </c>
      <c r="J125" s="18" t="str">
        <f aca="false">IF(I125="","",IF(I125&gt;=$L$2,"S",IF(I125&gt;=$L$3,"A",IF(I125&gt;=$L$4,"B","C"))))</f>
        <v/>
      </c>
      <c r="K125" s="18"/>
      <c r="L125" s="18"/>
      <c r="M125" s="18"/>
    </row>
    <row r="126" customFormat="false" ht="15" hidden="false" customHeight="false" outlineLevel="0" collapsed="false">
      <c r="A126" s="18"/>
      <c r="B126" s="18"/>
      <c r="C126" s="18"/>
      <c r="D126" s="18"/>
      <c r="E126" s="18"/>
      <c r="F126" s="18"/>
      <c r="G126" s="18"/>
      <c r="H126" s="18"/>
      <c r="I126" s="18" t="str">
        <f aca="false">IF(COUNT(D126:H126)&lt;5,"",ROUND(SUMPRODUCT(D126:H126,$D$2:$H$2)/100,2))</f>
        <v/>
      </c>
      <c r="J126" s="18" t="str">
        <f aca="false">IF(I126="","",IF(I126&gt;=$L$2,"S",IF(I126&gt;=$L$3,"A",IF(I126&gt;=$L$4,"B","C"))))</f>
        <v/>
      </c>
      <c r="K126" s="18"/>
      <c r="L126" s="18"/>
      <c r="M126" s="18"/>
    </row>
    <row r="127" customFormat="false" ht="15" hidden="false" customHeight="false" outlineLevel="0" collapsed="false">
      <c r="A127" s="18"/>
      <c r="B127" s="18"/>
      <c r="C127" s="18"/>
      <c r="D127" s="18"/>
      <c r="E127" s="18"/>
      <c r="F127" s="18"/>
      <c r="G127" s="18"/>
      <c r="H127" s="18"/>
      <c r="I127" s="18" t="str">
        <f aca="false">IF(COUNT(D127:H127)&lt;5,"",ROUND(SUMPRODUCT(D127:H127,$D$2:$H$2)/100,2))</f>
        <v/>
      </c>
      <c r="J127" s="18" t="str">
        <f aca="false">IF(I127="","",IF(I127&gt;=$L$2,"S",IF(I127&gt;=$L$3,"A",IF(I127&gt;=$L$4,"B","C"))))</f>
        <v/>
      </c>
      <c r="K127" s="18"/>
      <c r="L127" s="18"/>
      <c r="M127" s="18"/>
    </row>
    <row r="128" customFormat="false" ht="15" hidden="false" customHeight="false" outlineLevel="0" collapsed="false">
      <c r="A128" s="18"/>
      <c r="B128" s="18"/>
      <c r="C128" s="18"/>
      <c r="D128" s="18"/>
      <c r="E128" s="18"/>
      <c r="F128" s="18"/>
      <c r="G128" s="18"/>
      <c r="H128" s="18"/>
      <c r="I128" s="18" t="str">
        <f aca="false">IF(COUNT(D128:H128)&lt;5,"",ROUND(SUMPRODUCT(D128:H128,$D$2:$H$2)/100,2))</f>
        <v/>
      </c>
      <c r="J128" s="18" t="str">
        <f aca="false">IF(I128="","",IF(I128&gt;=$L$2,"S",IF(I128&gt;=$L$3,"A",IF(I128&gt;=$L$4,"B","C"))))</f>
        <v/>
      </c>
      <c r="K128" s="18"/>
      <c r="L128" s="18"/>
      <c r="M128" s="18"/>
    </row>
    <row r="129" customFormat="false" ht="15" hidden="false" customHeight="false" outlineLevel="0" collapsed="false">
      <c r="A129" s="18"/>
      <c r="B129" s="18"/>
      <c r="C129" s="18"/>
      <c r="D129" s="18"/>
      <c r="E129" s="18"/>
      <c r="F129" s="18"/>
      <c r="G129" s="18"/>
      <c r="H129" s="18"/>
      <c r="I129" s="18" t="str">
        <f aca="false">IF(COUNT(D129:H129)&lt;5,"",ROUND(SUMPRODUCT(D129:H129,$D$2:$H$2)/100,2))</f>
        <v/>
      </c>
      <c r="J129" s="18" t="str">
        <f aca="false">IF(I129="","",IF(I129&gt;=$L$2,"S",IF(I129&gt;=$L$3,"A",IF(I129&gt;=$L$4,"B","C"))))</f>
        <v/>
      </c>
      <c r="K129" s="18"/>
      <c r="L129" s="18"/>
      <c r="M129" s="18"/>
    </row>
    <row r="130" customFormat="false" ht="15" hidden="false" customHeight="false" outlineLevel="0" collapsed="false">
      <c r="A130" s="18"/>
      <c r="B130" s="18"/>
      <c r="C130" s="18"/>
      <c r="D130" s="18"/>
      <c r="E130" s="18"/>
      <c r="F130" s="18"/>
      <c r="G130" s="18"/>
      <c r="H130" s="18"/>
      <c r="I130" s="18" t="str">
        <f aca="false">IF(COUNT(D130:H130)&lt;5,"",ROUND(SUMPRODUCT(D130:H130,$D$2:$H$2)/100,2))</f>
        <v/>
      </c>
      <c r="J130" s="18" t="str">
        <f aca="false">IF(I130="","",IF(I130&gt;=$L$2,"S",IF(I130&gt;=$L$3,"A",IF(I130&gt;=$L$4,"B","C"))))</f>
        <v/>
      </c>
      <c r="K130" s="18"/>
      <c r="L130" s="18"/>
      <c r="M130" s="18"/>
    </row>
    <row r="131" customFormat="false" ht="15" hidden="false" customHeight="false" outlineLevel="0" collapsed="false">
      <c r="A131" s="18"/>
      <c r="B131" s="18"/>
      <c r="C131" s="18"/>
      <c r="D131" s="18"/>
      <c r="E131" s="18"/>
      <c r="F131" s="18"/>
      <c r="G131" s="18"/>
      <c r="H131" s="18"/>
      <c r="I131" s="18" t="str">
        <f aca="false">IF(COUNT(D131:H131)&lt;5,"",ROUND(SUMPRODUCT(D131:H131,$D$2:$H$2)/100,2))</f>
        <v/>
      </c>
      <c r="J131" s="18" t="str">
        <f aca="false">IF(I131="","",IF(I131&gt;=$L$2,"S",IF(I131&gt;=$L$3,"A",IF(I131&gt;=$L$4,"B","C"))))</f>
        <v/>
      </c>
      <c r="K131" s="18"/>
      <c r="L131" s="18"/>
      <c r="M131" s="18"/>
    </row>
    <row r="132" customFormat="false" ht="15" hidden="false" customHeight="false" outlineLevel="0" collapsed="false">
      <c r="A132" s="18"/>
      <c r="B132" s="18"/>
      <c r="C132" s="18"/>
      <c r="D132" s="18"/>
      <c r="E132" s="18"/>
      <c r="F132" s="18"/>
      <c r="G132" s="18"/>
      <c r="H132" s="18"/>
      <c r="I132" s="18" t="str">
        <f aca="false">IF(COUNT(D132:H132)&lt;5,"",ROUND(SUMPRODUCT(D132:H132,$D$2:$H$2)/100,2))</f>
        <v/>
      </c>
      <c r="J132" s="18" t="str">
        <f aca="false">IF(I132="","",IF(I132&gt;=$L$2,"S",IF(I132&gt;=$L$3,"A",IF(I132&gt;=$L$4,"B","C"))))</f>
        <v/>
      </c>
      <c r="K132" s="18"/>
      <c r="L132" s="18"/>
      <c r="M132" s="18"/>
    </row>
    <row r="133" customFormat="false" ht="15" hidden="false" customHeight="false" outlineLevel="0" collapsed="false">
      <c r="A133" s="18"/>
      <c r="B133" s="18"/>
      <c r="C133" s="18"/>
      <c r="D133" s="18"/>
      <c r="E133" s="18"/>
      <c r="F133" s="18"/>
      <c r="G133" s="18"/>
      <c r="H133" s="18"/>
      <c r="I133" s="18" t="str">
        <f aca="false">IF(COUNT(D133:H133)&lt;5,"",ROUND(SUMPRODUCT(D133:H133,$D$2:$H$2)/100,2))</f>
        <v/>
      </c>
      <c r="J133" s="18" t="str">
        <f aca="false">IF(I133="","",IF(I133&gt;=$L$2,"S",IF(I133&gt;=$L$3,"A",IF(I133&gt;=$L$4,"B","C"))))</f>
        <v/>
      </c>
      <c r="K133" s="18"/>
      <c r="L133" s="18"/>
      <c r="M133" s="18"/>
    </row>
    <row r="134" customFormat="false" ht="15" hidden="false" customHeight="false" outlineLevel="0" collapsed="false">
      <c r="A134" s="18"/>
      <c r="B134" s="18"/>
      <c r="C134" s="18"/>
      <c r="D134" s="18"/>
      <c r="E134" s="18"/>
      <c r="F134" s="18"/>
      <c r="G134" s="18"/>
      <c r="H134" s="18"/>
      <c r="I134" s="18" t="str">
        <f aca="false">IF(COUNT(D134:H134)&lt;5,"",ROUND(SUMPRODUCT(D134:H134,$D$2:$H$2)/100,2))</f>
        <v/>
      </c>
      <c r="J134" s="18" t="str">
        <f aca="false">IF(I134="","",IF(I134&gt;=$L$2,"S",IF(I134&gt;=$L$3,"A",IF(I134&gt;=$L$4,"B","C"))))</f>
        <v/>
      </c>
      <c r="K134" s="18"/>
      <c r="L134" s="18"/>
      <c r="M134" s="18"/>
    </row>
    <row r="135" customFormat="false" ht="15" hidden="false" customHeight="false" outlineLevel="0" collapsed="false">
      <c r="A135" s="18"/>
      <c r="B135" s="18"/>
      <c r="C135" s="18"/>
      <c r="D135" s="18"/>
      <c r="E135" s="18"/>
      <c r="F135" s="18"/>
      <c r="G135" s="18"/>
      <c r="H135" s="18"/>
      <c r="I135" s="18" t="str">
        <f aca="false">IF(COUNT(D135:H135)&lt;5,"",ROUND(SUMPRODUCT(D135:H135,$D$2:$H$2)/100,2))</f>
        <v/>
      </c>
      <c r="J135" s="18" t="str">
        <f aca="false">IF(I135="","",IF(I135&gt;=$L$2,"S",IF(I135&gt;=$L$3,"A",IF(I135&gt;=$L$4,"B","C"))))</f>
        <v/>
      </c>
      <c r="K135" s="18"/>
      <c r="L135" s="18"/>
      <c r="M135" s="18"/>
    </row>
    <row r="136" customFormat="false" ht="15" hidden="false" customHeight="false" outlineLevel="0" collapsed="false">
      <c r="A136" s="18"/>
      <c r="B136" s="18"/>
      <c r="C136" s="18"/>
      <c r="D136" s="18"/>
      <c r="E136" s="18"/>
      <c r="F136" s="18"/>
      <c r="G136" s="18"/>
      <c r="H136" s="18"/>
      <c r="I136" s="18" t="str">
        <f aca="false">IF(COUNT(D136:H136)&lt;5,"",ROUND(SUMPRODUCT(D136:H136,$D$2:$H$2)/100,2))</f>
        <v/>
      </c>
      <c r="J136" s="18" t="str">
        <f aca="false">IF(I136="","",IF(I136&gt;=$L$2,"S",IF(I136&gt;=$L$3,"A",IF(I136&gt;=$L$4,"B","C"))))</f>
        <v/>
      </c>
      <c r="K136" s="18"/>
      <c r="L136" s="18"/>
      <c r="M136" s="18"/>
    </row>
    <row r="137" customFormat="false" ht="15" hidden="false" customHeight="false" outlineLevel="0" collapsed="false">
      <c r="A137" s="18"/>
      <c r="B137" s="18"/>
      <c r="C137" s="18"/>
      <c r="D137" s="18"/>
      <c r="E137" s="18"/>
      <c r="F137" s="18"/>
      <c r="G137" s="18"/>
      <c r="H137" s="18"/>
      <c r="I137" s="18" t="str">
        <f aca="false">IF(COUNT(D137:H137)&lt;5,"",ROUND(SUMPRODUCT(D137:H137,$D$2:$H$2)/100,2))</f>
        <v/>
      </c>
      <c r="J137" s="18" t="str">
        <f aca="false">IF(I137="","",IF(I137&gt;=$L$2,"S",IF(I137&gt;=$L$3,"A",IF(I137&gt;=$L$4,"B","C"))))</f>
        <v/>
      </c>
      <c r="K137" s="18"/>
      <c r="L137" s="18"/>
      <c r="M137" s="18"/>
    </row>
    <row r="138" customFormat="false" ht="15" hidden="false" customHeight="false" outlineLevel="0" collapsed="false">
      <c r="A138" s="18"/>
      <c r="B138" s="18"/>
      <c r="C138" s="18"/>
      <c r="D138" s="18"/>
      <c r="E138" s="18"/>
      <c r="F138" s="18"/>
      <c r="G138" s="18"/>
      <c r="H138" s="18"/>
      <c r="I138" s="18" t="str">
        <f aca="false">IF(COUNT(D138:H138)&lt;5,"",ROUND(SUMPRODUCT(D138:H138,$D$2:$H$2)/100,2))</f>
        <v/>
      </c>
      <c r="J138" s="18" t="str">
        <f aca="false">IF(I138="","",IF(I138&gt;=$L$2,"S",IF(I138&gt;=$L$3,"A",IF(I138&gt;=$L$4,"B","C"))))</f>
        <v/>
      </c>
      <c r="K138" s="18"/>
      <c r="L138" s="18"/>
      <c r="M138" s="18"/>
    </row>
    <row r="139" customFormat="false" ht="15" hidden="false" customHeight="false" outlineLevel="0" collapsed="false">
      <c r="A139" s="18"/>
      <c r="B139" s="18"/>
      <c r="C139" s="18"/>
      <c r="D139" s="18"/>
      <c r="E139" s="18"/>
      <c r="F139" s="18"/>
      <c r="G139" s="18"/>
      <c r="H139" s="18"/>
      <c r="I139" s="18" t="str">
        <f aca="false">IF(COUNT(D139:H139)&lt;5,"",ROUND(SUMPRODUCT(D139:H139,$D$2:$H$2)/100,2))</f>
        <v/>
      </c>
      <c r="J139" s="18" t="str">
        <f aca="false">IF(I139="","",IF(I139&gt;=$L$2,"S",IF(I139&gt;=$L$3,"A",IF(I139&gt;=$L$4,"B","C"))))</f>
        <v/>
      </c>
      <c r="K139" s="18"/>
      <c r="L139" s="18"/>
      <c r="M139" s="18"/>
    </row>
    <row r="140" customFormat="false" ht="15" hidden="false" customHeight="false" outlineLevel="0" collapsed="false">
      <c r="A140" s="18"/>
      <c r="B140" s="18"/>
      <c r="C140" s="18"/>
      <c r="D140" s="18"/>
      <c r="E140" s="18"/>
      <c r="F140" s="18"/>
      <c r="G140" s="18"/>
      <c r="H140" s="18"/>
      <c r="I140" s="18" t="str">
        <f aca="false">IF(COUNT(D140:H140)&lt;5,"",ROUND(SUMPRODUCT(D140:H140,$D$2:$H$2)/100,2))</f>
        <v/>
      </c>
      <c r="J140" s="18" t="str">
        <f aca="false">IF(I140="","",IF(I140&gt;=$L$2,"S",IF(I140&gt;=$L$3,"A",IF(I140&gt;=$L$4,"B","C"))))</f>
        <v/>
      </c>
      <c r="K140" s="18"/>
      <c r="L140" s="18"/>
      <c r="M140" s="18"/>
    </row>
    <row r="141" customFormat="false" ht="15" hidden="false" customHeight="false" outlineLevel="0" collapsed="false">
      <c r="A141" s="18"/>
      <c r="B141" s="18"/>
      <c r="C141" s="18"/>
      <c r="D141" s="18"/>
      <c r="E141" s="18"/>
      <c r="F141" s="18"/>
      <c r="G141" s="18"/>
      <c r="H141" s="18"/>
      <c r="I141" s="18" t="str">
        <f aca="false">IF(COUNT(D141:H141)&lt;5,"",ROUND(SUMPRODUCT(D141:H141,$D$2:$H$2)/100,2))</f>
        <v/>
      </c>
      <c r="J141" s="18" t="str">
        <f aca="false">IF(I141="","",IF(I141&gt;=$L$2,"S",IF(I141&gt;=$L$3,"A",IF(I141&gt;=$L$4,"B","C"))))</f>
        <v/>
      </c>
      <c r="K141" s="18"/>
      <c r="L141" s="18"/>
      <c r="M141" s="18"/>
    </row>
    <row r="142" customFormat="false" ht="15" hidden="false" customHeight="false" outlineLevel="0" collapsed="false">
      <c r="A142" s="18"/>
      <c r="B142" s="18"/>
      <c r="C142" s="18"/>
      <c r="D142" s="18"/>
      <c r="E142" s="18"/>
      <c r="F142" s="18"/>
      <c r="G142" s="18"/>
      <c r="H142" s="18"/>
      <c r="I142" s="18" t="str">
        <f aca="false">IF(COUNT(D142:H142)&lt;5,"",ROUND(SUMPRODUCT(D142:H142,$D$2:$H$2)/100,2))</f>
        <v/>
      </c>
      <c r="J142" s="18" t="str">
        <f aca="false">IF(I142="","",IF(I142&gt;=$L$2,"S",IF(I142&gt;=$L$3,"A",IF(I142&gt;=$L$4,"B","C"))))</f>
        <v/>
      </c>
      <c r="K142" s="18"/>
      <c r="L142" s="18"/>
      <c r="M142" s="18"/>
    </row>
    <row r="143" customFormat="false" ht="15" hidden="false" customHeight="false" outlineLevel="0" collapsed="false">
      <c r="A143" s="18"/>
      <c r="B143" s="18"/>
      <c r="C143" s="18"/>
      <c r="D143" s="18"/>
      <c r="E143" s="18"/>
      <c r="F143" s="18"/>
      <c r="G143" s="18"/>
      <c r="H143" s="18"/>
      <c r="I143" s="18" t="str">
        <f aca="false">IF(COUNT(D143:H143)&lt;5,"",ROUND(SUMPRODUCT(D143:H143,$D$2:$H$2)/100,2))</f>
        <v/>
      </c>
      <c r="J143" s="18" t="str">
        <f aca="false">IF(I143="","",IF(I143&gt;=$L$2,"S",IF(I143&gt;=$L$3,"A",IF(I143&gt;=$L$4,"B","C"))))</f>
        <v/>
      </c>
      <c r="K143" s="18"/>
      <c r="L143" s="18"/>
      <c r="M143" s="18"/>
    </row>
    <row r="144" customFormat="false" ht="15" hidden="false" customHeight="false" outlineLevel="0" collapsed="false">
      <c r="A144" s="18"/>
      <c r="B144" s="18"/>
      <c r="C144" s="18"/>
      <c r="D144" s="18"/>
      <c r="E144" s="18"/>
      <c r="F144" s="18"/>
      <c r="G144" s="18"/>
      <c r="H144" s="18"/>
      <c r="I144" s="18" t="str">
        <f aca="false">IF(COUNT(D144:H144)&lt;5,"",ROUND(SUMPRODUCT(D144:H144,$D$2:$H$2)/100,2))</f>
        <v/>
      </c>
      <c r="J144" s="18" t="str">
        <f aca="false">IF(I144="","",IF(I144&gt;=$L$2,"S",IF(I144&gt;=$L$3,"A",IF(I144&gt;=$L$4,"B","C"))))</f>
        <v/>
      </c>
      <c r="K144" s="18"/>
      <c r="L144" s="18"/>
      <c r="M144" s="18"/>
    </row>
    <row r="145" customFormat="false" ht="15" hidden="false" customHeight="false" outlineLevel="0" collapsed="false">
      <c r="A145" s="18"/>
      <c r="B145" s="18"/>
      <c r="C145" s="18"/>
      <c r="D145" s="18"/>
      <c r="E145" s="18"/>
      <c r="F145" s="18"/>
      <c r="G145" s="18"/>
      <c r="H145" s="18"/>
      <c r="I145" s="18" t="str">
        <f aca="false">IF(COUNT(D145:H145)&lt;5,"",ROUND(SUMPRODUCT(D145:H145,$D$2:$H$2)/100,2))</f>
        <v/>
      </c>
      <c r="J145" s="18" t="str">
        <f aca="false">IF(I145="","",IF(I145&gt;=$L$2,"S",IF(I145&gt;=$L$3,"A",IF(I145&gt;=$L$4,"B","C"))))</f>
        <v/>
      </c>
      <c r="K145" s="18"/>
      <c r="L145" s="18"/>
      <c r="M145" s="18"/>
    </row>
    <row r="146" customFormat="false" ht="15" hidden="false" customHeight="false" outlineLevel="0" collapsed="false">
      <c r="A146" s="18"/>
      <c r="B146" s="18"/>
      <c r="C146" s="18"/>
      <c r="D146" s="18"/>
      <c r="E146" s="18"/>
      <c r="F146" s="18"/>
      <c r="G146" s="18"/>
      <c r="H146" s="18"/>
      <c r="I146" s="18" t="str">
        <f aca="false">IF(COUNT(D146:H146)&lt;5,"",ROUND(SUMPRODUCT(D146:H146,$D$2:$H$2)/100,2))</f>
        <v/>
      </c>
      <c r="J146" s="18" t="str">
        <f aca="false">IF(I146="","",IF(I146&gt;=$L$2,"S",IF(I146&gt;=$L$3,"A",IF(I146&gt;=$L$4,"B","C"))))</f>
        <v/>
      </c>
      <c r="K146" s="18"/>
      <c r="L146" s="18"/>
      <c r="M146" s="18"/>
    </row>
    <row r="147" customFormat="false" ht="15" hidden="false" customHeight="false" outlineLevel="0" collapsed="false">
      <c r="A147" s="18"/>
      <c r="B147" s="18"/>
      <c r="C147" s="18"/>
      <c r="D147" s="18"/>
      <c r="E147" s="18"/>
      <c r="F147" s="18"/>
      <c r="G147" s="18"/>
      <c r="H147" s="18"/>
      <c r="I147" s="18" t="str">
        <f aca="false">IF(COUNT(D147:H147)&lt;5,"",ROUND(SUMPRODUCT(D147:H147,$D$2:$H$2)/100,2))</f>
        <v/>
      </c>
      <c r="J147" s="18" t="str">
        <f aca="false">IF(I147="","",IF(I147&gt;=$L$2,"S",IF(I147&gt;=$L$3,"A",IF(I147&gt;=$L$4,"B","C"))))</f>
        <v/>
      </c>
      <c r="K147" s="18"/>
      <c r="L147" s="18"/>
      <c r="M147" s="18"/>
    </row>
    <row r="148" customFormat="false" ht="15" hidden="false" customHeight="false" outlineLevel="0" collapsed="false">
      <c r="A148" s="18"/>
      <c r="B148" s="18"/>
      <c r="C148" s="18"/>
      <c r="D148" s="18"/>
      <c r="E148" s="18"/>
      <c r="F148" s="18"/>
      <c r="G148" s="18"/>
      <c r="H148" s="18"/>
      <c r="I148" s="18" t="str">
        <f aca="false">IF(COUNT(D148:H148)&lt;5,"",ROUND(SUMPRODUCT(D148:H148,$D$2:$H$2)/100,2))</f>
        <v/>
      </c>
      <c r="J148" s="18" t="str">
        <f aca="false">IF(I148="","",IF(I148&gt;=$L$2,"S",IF(I148&gt;=$L$3,"A",IF(I148&gt;=$L$4,"B","C"))))</f>
        <v/>
      </c>
      <c r="K148" s="18"/>
      <c r="L148" s="18"/>
      <c r="M148" s="18"/>
    </row>
    <row r="149" customFormat="false" ht="15" hidden="false" customHeight="false" outlineLevel="0" collapsed="false">
      <c r="A149" s="18"/>
      <c r="B149" s="18"/>
      <c r="C149" s="18"/>
      <c r="D149" s="18"/>
      <c r="E149" s="18"/>
      <c r="F149" s="18"/>
      <c r="G149" s="18"/>
      <c r="H149" s="18"/>
      <c r="I149" s="18" t="str">
        <f aca="false">IF(COUNT(D149:H149)&lt;5,"",ROUND(SUMPRODUCT(D149:H149,$D$2:$H$2)/100,2))</f>
        <v/>
      </c>
      <c r="J149" s="18" t="str">
        <f aca="false">IF(I149="","",IF(I149&gt;=$L$2,"S",IF(I149&gt;=$L$3,"A",IF(I149&gt;=$L$4,"B","C"))))</f>
        <v/>
      </c>
      <c r="K149" s="18"/>
      <c r="L149" s="18"/>
      <c r="M149" s="18"/>
    </row>
    <row r="150" customFormat="false" ht="15" hidden="false" customHeight="false" outlineLevel="0" collapsed="false">
      <c r="A150" s="18"/>
      <c r="B150" s="18"/>
      <c r="C150" s="18"/>
      <c r="D150" s="18"/>
      <c r="E150" s="18"/>
      <c r="F150" s="18"/>
      <c r="G150" s="18"/>
      <c r="H150" s="18"/>
      <c r="I150" s="18" t="str">
        <f aca="false">IF(COUNT(D150:H150)&lt;5,"",ROUND(SUMPRODUCT(D150:H150,$D$2:$H$2)/100,2))</f>
        <v/>
      </c>
      <c r="J150" s="18" t="str">
        <f aca="false">IF(I150="","",IF(I150&gt;=$L$2,"S",IF(I150&gt;=$L$3,"A",IF(I150&gt;=$L$4,"B","C"))))</f>
        <v/>
      </c>
      <c r="K150" s="18"/>
      <c r="L150" s="18"/>
      <c r="M150" s="18"/>
    </row>
    <row r="151" customFormat="false" ht="15" hidden="false" customHeight="false" outlineLevel="0" collapsed="false">
      <c r="A151" s="18"/>
      <c r="B151" s="18"/>
      <c r="C151" s="18"/>
      <c r="D151" s="18"/>
      <c r="E151" s="18"/>
      <c r="F151" s="18"/>
      <c r="G151" s="18"/>
      <c r="H151" s="18"/>
      <c r="I151" s="18" t="str">
        <f aca="false">IF(COUNT(D151:H151)&lt;5,"",ROUND(SUMPRODUCT(D151:H151,$D$2:$H$2)/100,2))</f>
        <v/>
      </c>
      <c r="J151" s="18" t="str">
        <f aca="false">IF(I151="","",IF(I151&gt;=$L$2,"S",IF(I151&gt;=$L$3,"A",IF(I151&gt;=$L$4,"B","C"))))</f>
        <v/>
      </c>
      <c r="K151" s="18"/>
      <c r="L151" s="18"/>
      <c r="M151" s="18"/>
    </row>
    <row r="152" customFormat="false" ht="15" hidden="false" customHeight="false" outlineLevel="0" collapsed="false">
      <c r="A152" s="18"/>
      <c r="B152" s="18"/>
      <c r="C152" s="18"/>
      <c r="D152" s="18"/>
      <c r="E152" s="18"/>
      <c r="F152" s="18"/>
      <c r="G152" s="18"/>
      <c r="H152" s="18"/>
      <c r="I152" s="18" t="str">
        <f aca="false">IF(COUNT(D152:H152)&lt;5,"",ROUND(SUMPRODUCT(D152:H152,$D$2:$H$2)/100,2))</f>
        <v/>
      </c>
      <c r="J152" s="18" t="str">
        <f aca="false">IF(I152="","",IF(I152&gt;=$L$2,"S",IF(I152&gt;=$L$3,"A",IF(I152&gt;=$L$4,"B","C"))))</f>
        <v/>
      </c>
      <c r="K152" s="18"/>
      <c r="L152" s="18"/>
      <c r="M152" s="18"/>
    </row>
    <row r="153" customFormat="false" ht="15" hidden="false" customHeight="false" outlineLevel="0" collapsed="false">
      <c r="A153" s="18"/>
      <c r="B153" s="18"/>
      <c r="C153" s="18"/>
      <c r="D153" s="18"/>
      <c r="E153" s="18"/>
      <c r="F153" s="18"/>
      <c r="G153" s="18"/>
      <c r="H153" s="18"/>
      <c r="I153" s="18" t="str">
        <f aca="false">IF(COUNT(D153:H153)&lt;5,"",ROUND(SUMPRODUCT(D153:H153,$D$2:$H$2)/100,2))</f>
        <v/>
      </c>
      <c r="J153" s="18" t="str">
        <f aca="false">IF(I153="","",IF(I153&gt;=$L$2,"S",IF(I153&gt;=$L$3,"A",IF(I153&gt;=$L$4,"B","C"))))</f>
        <v/>
      </c>
      <c r="K153" s="18"/>
      <c r="L153" s="18"/>
      <c r="M153" s="18"/>
    </row>
    <row r="154" customFormat="false" ht="15" hidden="false" customHeight="false" outlineLevel="0" collapsed="false">
      <c r="A154" s="18"/>
      <c r="B154" s="18"/>
      <c r="C154" s="18"/>
      <c r="D154" s="18"/>
      <c r="E154" s="18"/>
      <c r="F154" s="18"/>
      <c r="G154" s="18"/>
      <c r="H154" s="18"/>
      <c r="I154" s="18" t="str">
        <f aca="false">IF(COUNT(D154:H154)&lt;5,"",ROUND(SUMPRODUCT(D154:H154,$D$2:$H$2)/100,2))</f>
        <v/>
      </c>
      <c r="J154" s="18" t="str">
        <f aca="false">IF(I154="","",IF(I154&gt;=$L$2,"S",IF(I154&gt;=$L$3,"A",IF(I154&gt;=$L$4,"B","C"))))</f>
        <v/>
      </c>
      <c r="K154" s="18"/>
      <c r="L154" s="18"/>
      <c r="M154" s="18"/>
    </row>
    <row r="155" customFormat="false" ht="15" hidden="false" customHeight="false" outlineLevel="0" collapsed="false">
      <c r="A155" s="18"/>
      <c r="B155" s="18"/>
      <c r="C155" s="18"/>
      <c r="D155" s="18"/>
      <c r="E155" s="18"/>
      <c r="F155" s="18"/>
      <c r="G155" s="18"/>
      <c r="H155" s="18"/>
      <c r="I155" s="18" t="str">
        <f aca="false">IF(COUNT(D155:H155)&lt;5,"",ROUND(SUMPRODUCT(D155:H155,$D$2:$H$2)/100,2))</f>
        <v/>
      </c>
      <c r="J155" s="18" t="str">
        <f aca="false">IF(I155="","",IF(I155&gt;=$L$2,"S",IF(I155&gt;=$L$3,"A",IF(I155&gt;=$L$4,"B","C"))))</f>
        <v/>
      </c>
      <c r="K155" s="18"/>
      <c r="L155" s="18"/>
      <c r="M155" s="18"/>
    </row>
  </sheetData>
  <dataValidations count="2">
    <dataValidation allowBlank="true" errorStyle="stop" operator="between" showDropDown="false" showErrorMessage="false" showInputMessage="false" sqref="D6:H155" type="list">
      <formula1>"1,2,3,4,5"</formula1>
      <formula2>0</formula2>
    </dataValidation>
    <dataValidation allowBlank="true" errorStyle="stop" operator="between" showDropDown="false" showErrorMessage="false" showInputMessage="false" sqref="L6:L155" type="list">
      <formula1>"OK,要注意"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2026-07-29T03:15:27Z</dcterms:created>
  <dc:creator>新谷隼人</dc:creator>
  <dc:description/>
  <dc:language>en-US</dc:language>
  <cp:lastModifiedBy>新谷隼人</cp:lastModifiedBy>
  <dcterms:modified xsi:type="dcterms:W3CDTF">2026-07-29T03:15:27Z</dcterms:modified>
  <cp:revision>0</cp:revision>
  <dc:subject/>
  <dc:title>顧客採点フォーマット</dc:title>
</cp:coreProperties>
</file>

<file path=docProps/custom.xml><?xml version="1.0" encoding="utf-8"?>
<Properties xmlns="http://schemas.openxmlformats.org/officeDocument/2006/custom-properties" xmlns:vt="http://schemas.openxmlformats.org/officeDocument/2006/docPropsVTypes"/>
</file>