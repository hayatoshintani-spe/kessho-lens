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週次レビュー" sheetId="2" state="visible" r:id="rId2"/>
    <sheet xmlns:r="http://schemas.openxmlformats.org/officeDocument/2006/relationships" name="宿題管理" sheetId="3" state="visible" r:id="rId3"/>
    <sheet xmlns:r="http://schemas.openxmlformats.org/officeDocument/2006/relationships" name="エスカレーションログ" sheetId="4" state="visible" r:id="rId4"/>
    <sheet xmlns:r="http://schemas.openxmlformats.org/officeDocument/2006/relationships" name="RACI表" sheetId="5" state="visible" r:id="rId5"/>
    <sheet xmlns:r="http://schemas.openxmlformats.org/officeDocument/2006/relationships" name="マスタ設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3A106E"/>
      <sz val="13"/>
    </font>
    <font>
      <name val="Yu Gothic"/>
      <color rgb="00262630"/>
      <sz val="10"/>
    </font>
    <font>
      <name val="Yu Gothic"/>
      <color rgb="005F5F6E"/>
      <sz val="10"/>
    </font>
    <font>
      <name val="Yu Gothic"/>
      <b val="1"/>
      <color rgb="00FFFFFF"/>
      <sz val="10"/>
    </font>
    <font>
      <name val="Yu Gothic"/>
      <b val="1"/>
      <color rgb="003A106E"/>
      <sz val="10"/>
    </font>
    <font>
      <name val="Yu Gothic"/>
      <b val="1"/>
      <color rgb="007823DC"/>
      <sz val="10"/>
    </font>
  </fonts>
  <fills count="3">
    <fill>
      <patternFill/>
    </fill>
    <fill>
      <patternFill patternType="gray125"/>
    </fill>
    <fill>
      <patternFill patternType="solid">
        <fgColor rgb="003A106E"/>
      </patternFill>
    </fill>
  </fills>
  <borders count="2">
    <border>
      <left/>
      <right/>
      <top/>
      <bottom/>
      <diagonal/>
    </border>
    <border>
      <left style="thin">
        <color rgb="00D9D9E0"/>
      </left>
      <right style="thin">
        <color rgb="00D9D9E0"/>
      </right>
      <top style="thin">
        <color rgb="00D9D9E0"/>
      </top>
      <bottom style="thin">
        <color rgb="00D9D9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STO週次運用管理ワークブック — 使い方</t>
        </is>
      </c>
    </row>
    <row r="2">
      <c r="A2" s="2" t="inlineStr"/>
    </row>
    <row r="3">
      <c r="A3" s="3" t="inlineStr">
        <is>
          <t>このファイルはSTO（営業改革推進室）の日次・週次運用を回すための台帳です。正本は1ファイルのみ。コピーを配布しない。</t>
        </is>
      </c>
    </row>
    <row r="4">
      <c r="A4" s="2" t="inlineStr"/>
    </row>
    <row r="5">
      <c r="A5" s="3" t="inlineStr">
        <is>
          <t>【シート構成】</t>
        </is>
      </c>
    </row>
    <row r="6">
      <c r="A6" s="3" t="inlineStr">
        <is>
          <t>・週次レビュー … 金曜17:00の週次レビュー（30分）の記録。キュー残・データ鮮度・宿題消化率・エスカレーションを毎週1行で残す。</t>
        </is>
      </c>
    </row>
    <row r="7">
      <c r="A7" s="3" t="inlineStr">
        <is>
          <t>・宿題管理 … 会議で起票した宿題を「誰が・何を・いつまでに」で管理。停滞日数は自動計算（3日で黄・5日で赤）。</t>
        </is>
      </c>
    </row>
    <row r="8">
      <c r="A8" s="3" t="inlineStr">
        <is>
          <t>・エスカレーションログ … 24時間で解けない詰まりを新谷へ上げた記録。①詰まり②必要な判断③放置の影響の3点で起票。</t>
        </is>
      </c>
    </row>
    <row r="9">
      <c r="A9" s="3" t="inlineStr">
        <is>
          <t>・RACI表 … 主要活動ごとの役割分担（R=実行/A=説明責任/C=相談/I=報告）。</t>
        </is>
      </c>
    </row>
    <row r="10">
      <c r="A10" s="3" t="inlineStr">
        <is>
          <t>・マスタ設定 … ドロップダウン用リストと担当者名簿（編集時の参照元）。</t>
        </is>
      </c>
    </row>
    <row r="11">
      <c r="A11" s="2" t="inlineStr"/>
    </row>
    <row r="12">
      <c r="A12" s="3" t="inlineStr">
        <is>
          <t>【運用ルール】</t>
        </is>
      </c>
    </row>
    <row r="13">
      <c r="A13" s="3" t="inlineStr">
        <is>
          <t>・週次レビューは毎週金曜17:00の30分。新谷・坪井・岡田で実施。画面共有のみで運用し、別途資料は作らない。</t>
        </is>
      </c>
    </row>
    <row r="14">
      <c r="A14" s="3" t="inlineStr">
        <is>
          <t>・宿題の主語は必ず個人名（組織名での起票は不可）。停滞3日で督促、5日で新谷へ自動エスカレーション。</t>
        </is>
      </c>
    </row>
    <row r="15">
      <c r="A15" s="3" t="inlineStr">
        <is>
          <t>・工数・停滞などの数字は資源配分の設計に使う。個人評価には一切使用しない（グランドデザインの大原則）。</t>
        </is>
      </c>
    </row>
    <row r="16">
      <c r="A16" s="3" t="inlineStr">
        <is>
          <t>・停滞こそ失点。エスカレーションは失点ではない。抱え込みを機械的に検知するための台帳として使う。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4" customWidth="1" min="4" max="4"/>
    <col width="18" customWidth="1" min="5" max="5"/>
    <col width="11" customWidth="1" min="6" max="6"/>
    <col width="12" customWidth="1" min="7" max="7"/>
    <col width="26" customWidth="1" min="8" max="8"/>
    <col width="16" customWidth="1" min="9" max="9"/>
    <col width="24" customWidth="1" min="10" max="10"/>
  </cols>
  <sheetData>
    <row r="1">
      <c r="A1" s="4" t="inlineStr">
        <is>
          <t>週(日付)</t>
        </is>
      </c>
      <c r="B1" s="4" t="inlineStr">
        <is>
          <t>キュー残件数</t>
        </is>
      </c>
      <c r="C1" s="4" t="inlineStr">
        <is>
          <t>先週比</t>
        </is>
      </c>
      <c r="D1" s="4" t="inlineStr">
        <is>
          <t>マスター更新日</t>
        </is>
      </c>
      <c r="E1" s="4" t="inlineStr">
        <is>
          <t>財務データ受領状況</t>
        </is>
      </c>
      <c r="F1" s="4" t="inlineStr">
        <is>
          <t>宿題消化率</t>
        </is>
      </c>
      <c r="G1" s="4" t="inlineStr">
        <is>
          <t>停滞5日超件数</t>
        </is>
      </c>
      <c r="H1" s="4" t="inlineStr">
        <is>
          <t>決定事項</t>
        </is>
      </c>
      <c r="I1" s="4" t="inlineStr">
        <is>
          <t>エスカレーション有無</t>
        </is>
      </c>
      <c r="J1" s="4" t="inlineStr">
        <is>
          <t>メモ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</sheetData>
  <dataValidations count="1">
    <dataValidation sqref="I2:I21" showDropDown="0" showInputMessage="0" showErrorMessage="0" allowBlank="1" type="list">
      <formula1>"有,無"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34" customWidth="1" min="3" max="3"/>
    <col width="12" customWidth="1" min="4" max="4"/>
    <col width="13" customWidth="1" min="5" max="5"/>
    <col width="12" customWidth="1" min="6" max="6"/>
    <col width="11" customWidth="1" min="7" max="7"/>
    <col width="26" customWidth="1" min="8" max="8"/>
  </cols>
  <sheetData>
    <row r="1">
      <c r="A1" s="4" t="inlineStr">
        <is>
          <t>ID</t>
        </is>
      </c>
      <c r="B1" s="4" t="inlineStr">
        <is>
          <t>発生会議</t>
        </is>
      </c>
      <c r="C1" s="4" t="inlineStr">
        <is>
          <t>内容</t>
        </is>
      </c>
      <c r="D1" s="4" t="inlineStr">
        <is>
          <t>担当</t>
        </is>
      </c>
      <c r="E1" s="4" t="inlineStr">
        <is>
          <t>期限</t>
        </is>
      </c>
      <c r="F1" s="4" t="inlineStr">
        <is>
          <t>ステータス</t>
        </is>
      </c>
      <c r="G1" s="4" t="inlineStr">
        <is>
          <t>停滞日数</t>
        </is>
      </c>
      <c r="H1" s="4" t="inlineStr">
        <is>
          <t>備考</t>
        </is>
      </c>
    </row>
    <row r="2">
      <c r="A2" s="5" t="inlineStr">
        <is>
          <t>A-001</t>
        </is>
      </c>
      <c r="B2" s="5" t="inlineStr">
        <is>
          <t>分科会・接点づくり</t>
        </is>
      </c>
      <c r="C2" s="5" t="inlineStr">
        <is>
          <t>主要取引先20社の担当マッピングを確定する</t>
        </is>
      </c>
      <c r="D2" s="5" t="inlineStr">
        <is>
          <t>坪井</t>
        </is>
      </c>
      <c r="E2" s="5" t="inlineStr">
        <is>
          <t>2026-07-18</t>
        </is>
      </c>
      <c r="F2" s="5" t="inlineStr">
        <is>
          <t>進行中</t>
        </is>
      </c>
      <c r="G2" s="6">
        <f>IF(AND($F2&lt;&gt;"完了",$F2&lt;&gt;"",$E2&lt;&gt;"",TODAY()&gt;$E2),TODAY()-$E2,"")</f>
        <v/>
      </c>
      <c r="H2" s="5" t="n"/>
    </row>
    <row r="3">
      <c r="A3" s="5" t="n"/>
      <c r="B3" s="5" t="n"/>
      <c r="C3" s="5" t="n"/>
      <c r="D3" s="5" t="n"/>
      <c r="E3" s="5" t="n"/>
      <c r="F3" s="5" t="n"/>
      <c r="G3" s="6">
        <f>IF(AND($F3&lt;&gt;"完了",$F3&lt;&gt;"",$E3&lt;&gt;"",TODAY()&gt;$E3),TODAY()-$E3,"")</f>
        <v/>
      </c>
      <c r="H3" s="5" t="n"/>
    </row>
    <row r="4">
      <c r="A4" s="5" t="n"/>
      <c r="B4" s="5" t="n"/>
      <c r="C4" s="5" t="n"/>
      <c r="D4" s="5" t="n"/>
      <c r="E4" s="5" t="n"/>
      <c r="F4" s="5" t="n"/>
      <c r="G4" s="6">
        <f>IF(AND($F4&lt;&gt;"完了",$F4&lt;&gt;"",$E4&lt;&gt;"",TODAY()&gt;$E4),TODAY()-$E4,"")</f>
        <v/>
      </c>
      <c r="H4" s="5" t="n"/>
    </row>
    <row r="5">
      <c r="A5" s="5" t="n"/>
      <c r="B5" s="5" t="n"/>
      <c r="C5" s="5" t="n"/>
      <c r="D5" s="5" t="n"/>
      <c r="E5" s="5" t="n"/>
      <c r="F5" s="5" t="n"/>
      <c r="G5" s="6">
        <f>IF(AND($F5&lt;&gt;"完了",$F5&lt;&gt;"",$E5&lt;&gt;"",TODAY()&gt;$E5),TODAY()-$E5,"")</f>
        <v/>
      </c>
      <c r="H5" s="5" t="n"/>
    </row>
    <row r="6">
      <c r="A6" s="5" t="n"/>
      <c r="B6" s="5" t="n"/>
      <c r="C6" s="5" t="n"/>
      <c r="D6" s="5" t="n"/>
      <c r="E6" s="5" t="n"/>
      <c r="F6" s="5" t="n"/>
      <c r="G6" s="6">
        <f>IF(AND($F6&lt;&gt;"完了",$F6&lt;&gt;"",$E6&lt;&gt;"",TODAY()&gt;$E6),TODAY()-$E6,"")</f>
        <v/>
      </c>
      <c r="H6" s="5" t="n"/>
    </row>
    <row r="7">
      <c r="A7" s="5" t="n"/>
      <c r="B7" s="5" t="n"/>
      <c r="C7" s="5" t="n"/>
      <c r="D7" s="5" t="n"/>
      <c r="E7" s="5" t="n"/>
      <c r="F7" s="5" t="n"/>
      <c r="G7" s="6">
        <f>IF(AND($F7&lt;&gt;"完了",$F7&lt;&gt;"",$E7&lt;&gt;"",TODAY()&gt;$E7),TODAY()-$E7,"")</f>
        <v/>
      </c>
      <c r="H7" s="5" t="n"/>
    </row>
    <row r="8">
      <c r="A8" s="5" t="n"/>
      <c r="B8" s="5" t="n"/>
      <c r="C8" s="5" t="n"/>
      <c r="D8" s="5" t="n"/>
      <c r="E8" s="5" t="n"/>
      <c r="F8" s="5" t="n"/>
      <c r="G8" s="6">
        <f>IF(AND($F8&lt;&gt;"完了",$F8&lt;&gt;"",$E8&lt;&gt;"",TODAY()&gt;$E8),TODAY()-$E8,"")</f>
        <v/>
      </c>
      <c r="H8" s="5" t="n"/>
    </row>
    <row r="9">
      <c r="A9" s="5" t="n"/>
      <c r="B9" s="5" t="n"/>
      <c r="C9" s="5" t="n"/>
      <c r="D9" s="5" t="n"/>
      <c r="E9" s="5" t="n"/>
      <c r="F9" s="5" t="n"/>
      <c r="G9" s="6">
        <f>IF(AND($F9&lt;&gt;"完了",$F9&lt;&gt;"",$E9&lt;&gt;"",TODAY()&gt;$E9),TODAY()-$E9,"")</f>
        <v/>
      </c>
      <c r="H9" s="5" t="n"/>
    </row>
    <row r="10">
      <c r="A10" s="5" t="n"/>
      <c r="B10" s="5" t="n"/>
      <c r="C10" s="5" t="n"/>
      <c r="D10" s="5" t="n"/>
      <c r="E10" s="5" t="n"/>
      <c r="F10" s="5" t="n"/>
      <c r="G10" s="6">
        <f>IF(AND($F10&lt;&gt;"完了",$F10&lt;&gt;"",$E10&lt;&gt;"",TODAY()&gt;$E10),TODAY()-$E10,"")</f>
        <v/>
      </c>
      <c r="H10" s="5" t="n"/>
    </row>
    <row r="11">
      <c r="A11" s="5" t="n"/>
      <c r="B11" s="5" t="n"/>
      <c r="C11" s="5" t="n"/>
      <c r="D11" s="5" t="n"/>
      <c r="E11" s="5" t="n"/>
      <c r="F11" s="5" t="n"/>
      <c r="G11" s="6">
        <f>IF(AND($F11&lt;&gt;"完了",$F11&lt;&gt;"",$E11&lt;&gt;"",TODAY()&gt;$E11),TODAY()-$E11,"")</f>
        <v/>
      </c>
      <c r="H11" s="5" t="n"/>
    </row>
    <row r="12">
      <c r="A12" s="5" t="n"/>
      <c r="B12" s="5" t="n"/>
      <c r="C12" s="5" t="n"/>
      <c r="D12" s="5" t="n"/>
      <c r="E12" s="5" t="n"/>
      <c r="F12" s="5" t="n"/>
      <c r="G12" s="6">
        <f>IF(AND($F12&lt;&gt;"完了",$F12&lt;&gt;"",$E12&lt;&gt;"",TODAY()&gt;$E12),TODAY()-$E12,"")</f>
        <v/>
      </c>
      <c r="H12" s="5" t="n"/>
    </row>
    <row r="13">
      <c r="A13" s="5" t="n"/>
      <c r="B13" s="5" t="n"/>
      <c r="C13" s="5" t="n"/>
      <c r="D13" s="5" t="n"/>
      <c r="E13" s="5" t="n"/>
      <c r="F13" s="5" t="n"/>
      <c r="G13" s="6">
        <f>IF(AND($F13&lt;&gt;"完了",$F13&lt;&gt;"",$E13&lt;&gt;"",TODAY()&gt;$E13),TODAY()-$E13,"")</f>
        <v/>
      </c>
      <c r="H13" s="5" t="n"/>
    </row>
    <row r="14">
      <c r="A14" s="5" t="n"/>
      <c r="B14" s="5" t="n"/>
      <c r="C14" s="5" t="n"/>
      <c r="D14" s="5" t="n"/>
      <c r="E14" s="5" t="n"/>
      <c r="F14" s="5" t="n"/>
      <c r="G14" s="6">
        <f>IF(AND($F14&lt;&gt;"完了",$F14&lt;&gt;"",$E14&lt;&gt;"",TODAY()&gt;$E14),TODAY()-$E14,"")</f>
        <v/>
      </c>
      <c r="H14" s="5" t="n"/>
    </row>
    <row r="15">
      <c r="A15" s="5" t="n"/>
      <c r="B15" s="5" t="n"/>
      <c r="C15" s="5" t="n"/>
      <c r="D15" s="5" t="n"/>
      <c r="E15" s="5" t="n"/>
      <c r="F15" s="5" t="n"/>
      <c r="G15" s="6">
        <f>IF(AND($F15&lt;&gt;"完了",$F15&lt;&gt;"",$E15&lt;&gt;"",TODAY()&gt;$E15),TODAY()-$E15,"")</f>
        <v/>
      </c>
      <c r="H15" s="5" t="n"/>
    </row>
    <row r="16">
      <c r="A16" s="5" t="n"/>
      <c r="B16" s="5" t="n"/>
      <c r="C16" s="5" t="n"/>
      <c r="D16" s="5" t="n"/>
      <c r="E16" s="5" t="n"/>
      <c r="F16" s="5" t="n"/>
      <c r="G16" s="6">
        <f>IF(AND($F16&lt;&gt;"完了",$F16&lt;&gt;"",$E16&lt;&gt;"",TODAY()&gt;$E16),TODAY()-$E16,"")</f>
        <v/>
      </c>
      <c r="H16" s="5" t="n"/>
    </row>
    <row r="17">
      <c r="A17" s="5" t="n"/>
      <c r="B17" s="5" t="n"/>
      <c r="C17" s="5" t="n"/>
      <c r="D17" s="5" t="n"/>
      <c r="E17" s="5" t="n"/>
      <c r="F17" s="5" t="n"/>
      <c r="G17" s="6">
        <f>IF(AND($F17&lt;&gt;"完了",$F17&lt;&gt;"",$E17&lt;&gt;"",TODAY()&gt;$E17),TODAY()-$E17,"")</f>
        <v/>
      </c>
      <c r="H17" s="5" t="n"/>
    </row>
    <row r="18">
      <c r="A18" s="5" t="n"/>
      <c r="B18" s="5" t="n"/>
      <c r="C18" s="5" t="n"/>
      <c r="D18" s="5" t="n"/>
      <c r="E18" s="5" t="n"/>
      <c r="F18" s="5" t="n"/>
      <c r="G18" s="6">
        <f>IF(AND($F18&lt;&gt;"完了",$F18&lt;&gt;"",$E18&lt;&gt;"",TODAY()&gt;$E18),TODAY()-$E18,"")</f>
        <v/>
      </c>
      <c r="H18" s="5" t="n"/>
    </row>
    <row r="19">
      <c r="A19" s="5" t="n"/>
      <c r="B19" s="5" t="n"/>
      <c r="C19" s="5" t="n"/>
      <c r="D19" s="5" t="n"/>
      <c r="E19" s="5" t="n"/>
      <c r="F19" s="5" t="n"/>
      <c r="G19" s="6">
        <f>IF(AND($F19&lt;&gt;"完了",$F19&lt;&gt;"",$E19&lt;&gt;"",TODAY()&gt;$E19),TODAY()-$E19,"")</f>
        <v/>
      </c>
      <c r="H19" s="5" t="n"/>
    </row>
    <row r="20">
      <c r="A20" s="5" t="n"/>
      <c r="B20" s="5" t="n"/>
      <c r="C20" s="5" t="n"/>
      <c r="D20" s="5" t="n"/>
      <c r="E20" s="5" t="n"/>
      <c r="F20" s="5" t="n"/>
      <c r="G20" s="6">
        <f>IF(AND($F20&lt;&gt;"完了",$F20&lt;&gt;"",$E20&lt;&gt;"",TODAY()&gt;$E20),TODAY()-$E20,"")</f>
        <v/>
      </c>
      <c r="H20" s="5" t="n"/>
    </row>
    <row r="21">
      <c r="A21" s="5" t="n"/>
      <c r="B21" s="5" t="n"/>
      <c r="C21" s="5" t="n"/>
      <c r="D21" s="5" t="n"/>
      <c r="E21" s="5" t="n"/>
      <c r="F21" s="5" t="n"/>
      <c r="G21" s="6">
        <f>IF(AND($F21&lt;&gt;"完了",$F21&lt;&gt;"",$E21&lt;&gt;"",TODAY()&gt;$E21),TODAY()-$E21,"")</f>
        <v/>
      </c>
      <c r="H21" s="5" t="n"/>
    </row>
    <row r="22">
      <c r="A22" s="5" t="n"/>
      <c r="B22" s="5" t="n"/>
      <c r="C22" s="5" t="n"/>
      <c r="D22" s="5" t="n"/>
      <c r="E22" s="5" t="n"/>
      <c r="F22" s="5" t="n"/>
      <c r="G22" s="6">
        <f>IF(AND($F22&lt;&gt;"完了",$F22&lt;&gt;"",$E22&lt;&gt;"",TODAY()&gt;$E22),TODAY()-$E22,"")</f>
        <v/>
      </c>
      <c r="H22" s="5" t="n"/>
    </row>
    <row r="23">
      <c r="A23" s="5" t="n"/>
      <c r="B23" s="5" t="n"/>
      <c r="C23" s="5" t="n"/>
      <c r="D23" s="5" t="n"/>
      <c r="E23" s="5" t="n"/>
      <c r="F23" s="5" t="n"/>
      <c r="G23" s="6">
        <f>IF(AND($F23&lt;&gt;"完了",$F23&lt;&gt;"",$E23&lt;&gt;"",TODAY()&gt;$E23),TODAY()-$E23,"")</f>
        <v/>
      </c>
      <c r="H23" s="5" t="n"/>
    </row>
    <row r="24">
      <c r="A24" s="5" t="n"/>
      <c r="B24" s="5" t="n"/>
      <c r="C24" s="5" t="n"/>
      <c r="D24" s="5" t="n"/>
      <c r="E24" s="5" t="n"/>
      <c r="F24" s="5" t="n"/>
      <c r="G24" s="6">
        <f>IF(AND($F24&lt;&gt;"完了",$F24&lt;&gt;"",$E24&lt;&gt;"",TODAY()&gt;$E24),TODAY()-$E24,"")</f>
        <v/>
      </c>
      <c r="H24" s="5" t="n"/>
    </row>
    <row r="25">
      <c r="A25" s="5" t="n"/>
      <c r="B25" s="5" t="n"/>
      <c r="C25" s="5" t="n"/>
      <c r="D25" s="5" t="n"/>
      <c r="E25" s="5" t="n"/>
      <c r="F25" s="5" t="n"/>
      <c r="G25" s="6">
        <f>IF(AND($F25&lt;&gt;"完了",$F25&lt;&gt;"",$E25&lt;&gt;"",TODAY()&gt;$E25),TODAY()-$E25,"")</f>
        <v/>
      </c>
      <c r="H25" s="5" t="n"/>
    </row>
    <row r="26">
      <c r="A26" s="5" t="n"/>
      <c r="B26" s="5" t="n"/>
      <c r="C26" s="5" t="n"/>
      <c r="D26" s="5" t="n"/>
      <c r="E26" s="5" t="n"/>
      <c r="F26" s="5" t="n"/>
      <c r="G26" s="6">
        <f>IF(AND($F26&lt;&gt;"完了",$F26&lt;&gt;"",$E26&lt;&gt;"",TODAY()&gt;$E26),TODAY()-$E26,"")</f>
        <v/>
      </c>
      <c r="H26" s="5" t="n"/>
    </row>
    <row r="27">
      <c r="A27" s="5" t="n"/>
      <c r="B27" s="5" t="n"/>
      <c r="C27" s="5" t="n"/>
      <c r="D27" s="5" t="n"/>
      <c r="E27" s="5" t="n"/>
      <c r="F27" s="5" t="n"/>
      <c r="G27" s="6">
        <f>IF(AND($F27&lt;&gt;"完了",$F27&lt;&gt;"",$E27&lt;&gt;"",TODAY()&gt;$E27),TODAY()-$E27,"")</f>
        <v/>
      </c>
      <c r="H27" s="5" t="n"/>
    </row>
    <row r="28">
      <c r="A28" s="5" t="n"/>
      <c r="B28" s="5" t="n"/>
      <c r="C28" s="5" t="n"/>
      <c r="D28" s="5" t="n"/>
      <c r="E28" s="5" t="n"/>
      <c r="F28" s="5" t="n"/>
      <c r="G28" s="6">
        <f>IF(AND($F28&lt;&gt;"完了",$F28&lt;&gt;"",$E28&lt;&gt;"",TODAY()&gt;$E28),TODAY()-$E28,"")</f>
        <v/>
      </c>
      <c r="H28" s="5" t="n"/>
    </row>
    <row r="29">
      <c r="A29" s="5" t="n"/>
      <c r="B29" s="5" t="n"/>
      <c r="C29" s="5" t="n"/>
      <c r="D29" s="5" t="n"/>
      <c r="E29" s="5" t="n"/>
      <c r="F29" s="5" t="n"/>
      <c r="G29" s="6">
        <f>IF(AND($F29&lt;&gt;"完了",$F29&lt;&gt;"",$E29&lt;&gt;"",TODAY()&gt;$E29),TODAY()-$E29,"")</f>
        <v/>
      </c>
      <c r="H29" s="5" t="n"/>
    </row>
    <row r="30">
      <c r="A30" s="5" t="n"/>
      <c r="B30" s="5" t="n"/>
      <c r="C30" s="5" t="n"/>
      <c r="D30" s="5" t="n"/>
      <c r="E30" s="5" t="n"/>
      <c r="F30" s="5" t="n"/>
      <c r="G30" s="6">
        <f>IF(AND($F30&lt;&gt;"完了",$F30&lt;&gt;"",$E30&lt;&gt;"",TODAY()&gt;$E30),TODAY()-$E30,"")</f>
        <v/>
      </c>
      <c r="H30" s="5" t="n"/>
    </row>
    <row r="31">
      <c r="A31" s="5" t="n"/>
      <c r="B31" s="5" t="n"/>
      <c r="C31" s="5" t="n"/>
      <c r="D31" s="5" t="n"/>
      <c r="E31" s="5" t="n"/>
      <c r="F31" s="5" t="n"/>
      <c r="G31" s="6">
        <f>IF(AND($F31&lt;&gt;"完了",$F31&lt;&gt;"",$E31&lt;&gt;"",TODAY()&gt;$E31),TODAY()-$E31,"")</f>
        <v/>
      </c>
      <c r="H31" s="5" t="n"/>
    </row>
    <row r="32">
      <c r="A32" s="5" t="n"/>
      <c r="B32" s="5" t="n"/>
      <c r="C32" s="5" t="n"/>
      <c r="D32" s="5" t="n"/>
      <c r="E32" s="5" t="n"/>
      <c r="F32" s="5" t="n"/>
      <c r="G32" s="6">
        <f>IF(AND($F32&lt;&gt;"完了",$F32&lt;&gt;"",$E32&lt;&gt;"",TODAY()&gt;$E32),TODAY()-$E32,"")</f>
        <v/>
      </c>
      <c r="H32" s="5" t="n"/>
    </row>
    <row r="33">
      <c r="A33" s="5" t="n"/>
      <c r="B33" s="5" t="n"/>
      <c r="C33" s="5" t="n"/>
      <c r="D33" s="5" t="n"/>
      <c r="E33" s="5" t="n"/>
      <c r="F33" s="5" t="n"/>
      <c r="G33" s="6">
        <f>IF(AND($F33&lt;&gt;"完了",$F33&lt;&gt;"",$E33&lt;&gt;"",TODAY()&gt;$E33),TODAY()-$E33,"")</f>
        <v/>
      </c>
      <c r="H33" s="5" t="n"/>
    </row>
    <row r="34">
      <c r="A34" s="5" t="n"/>
      <c r="B34" s="5" t="n"/>
      <c r="C34" s="5" t="n"/>
      <c r="D34" s="5" t="n"/>
      <c r="E34" s="5" t="n"/>
      <c r="F34" s="5" t="n"/>
      <c r="G34" s="6">
        <f>IF(AND($F34&lt;&gt;"完了",$F34&lt;&gt;"",$E34&lt;&gt;"",TODAY()&gt;$E34),TODAY()-$E34,"")</f>
        <v/>
      </c>
      <c r="H34" s="5" t="n"/>
    </row>
    <row r="35">
      <c r="A35" s="5" t="n"/>
      <c r="B35" s="5" t="n"/>
      <c r="C35" s="5" t="n"/>
      <c r="D35" s="5" t="n"/>
      <c r="E35" s="5" t="n"/>
      <c r="F35" s="5" t="n"/>
      <c r="G35" s="6">
        <f>IF(AND($F35&lt;&gt;"完了",$F35&lt;&gt;"",$E35&lt;&gt;"",TODAY()&gt;$E35),TODAY()-$E35,"")</f>
        <v/>
      </c>
      <c r="H35" s="5" t="n"/>
    </row>
    <row r="36">
      <c r="A36" s="5" t="n"/>
      <c r="B36" s="5" t="n"/>
      <c r="C36" s="5" t="n"/>
      <c r="D36" s="5" t="n"/>
      <c r="E36" s="5" t="n"/>
      <c r="F36" s="5" t="n"/>
      <c r="G36" s="6">
        <f>IF(AND($F36&lt;&gt;"完了",$F36&lt;&gt;"",$E36&lt;&gt;"",TODAY()&gt;$E36),TODAY()-$E36,"")</f>
        <v/>
      </c>
      <c r="H36" s="5" t="n"/>
    </row>
    <row r="37">
      <c r="A37" s="5" t="n"/>
      <c r="B37" s="5" t="n"/>
      <c r="C37" s="5" t="n"/>
      <c r="D37" s="5" t="n"/>
      <c r="E37" s="5" t="n"/>
      <c r="F37" s="5" t="n"/>
      <c r="G37" s="6">
        <f>IF(AND($F37&lt;&gt;"完了",$F37&lt;&gt;"",$E37&lt;&gt;"",TODAY()&gt;$E37),TODAY()-$E37,"")</f>
        <v/>
      </c>
      <c r="H37" s="5" t="n"/>
    </row>
    <row r="38">
      <c r="A38" s="5" t="n"/>
      <c r="B38" s="5" t="n"/>
      <c r="C38" s="5" t="n"/>
      <c r="D38" s="5" t="n"/>
      <c r="E38" s="5" t="n"/>
      <c r="F38" s="5" t="n"/>
      <c r="G38" s="6">
        <f>IF(AND($F38&lt;&gt;"完了",$F38&lt;&gt;"",$E38&lt;&gt;"",TODAY()&gt;$E38),TODAY()-$E38,"")</f>
        <v/>
      </c>
      <c r="H38" s="5" t="n"/>
    </row>
    <row r="39">
      <c r="A39" s="5" t="n"/>
      <c r="B39" s="5" t="n"/>
      <c r="C39" s="5" t="n"/>
      <c r="D39" s="5" t="n"/>
      <c r="E39" s="5" t="n"/>
      <c r="F39" s="5" t="n"/>
      <c r="G39" s="6">
        <f>IF(AND($F39&lt;&gt;"完了",$F39&lt;&gt;"",$E39&lt;&gt;"",TODAY()&gt;$E39),TODAY()-$E39,"")</f>
        <v/>
      </c>
      <c r="H39" s="5" t="n"/>
    </row>
    <row r="40">
      <c r="A40" s="5" t="n"/>
      <c r="B40" s="5" t="n"/>
      <c r="C40" s="5" t="n"/>
      <c r="D40" s="5" t="n"/>
      <c r="E40" s="5" t="n"/>
      <c r="F40" s="5" t="n"/>
      <c r="G40" s="6">
        <f>IF(AND($F40&lt;&gt;"完了",$F40&lt;&gt;"",$E40&lt;&gt;"",TODAY()&gt;$E40),TODAY()-$E40,"")</f>
        <v/>
      </c>
      <c r="H40" s="5" t="n"/>
    </row>
    <row r="41">
      <c r="A41" s="5" t="n"/>
      <c r="B41" s="5" t="n"/>
      <c r="C41" s="5" t="n"/>
      <c r="D41" s="5" t="n"/>
      <c r="E41" s="5" t="n"/>
      <c r="F41" s="5" t="n"/>
      <c r="G41" s="6">
        <f>IF(AND($F41&lt;&gt;"完了",$F41&lt;&gt;"",$E41&lt;&gt;"",TODAY()&gt;$E41),TODAY()-$E41,"")</f>
        <v/>
      </c>
      <c r="H41" s="5" t="n"/>
    </row>
    <row r="42">
      <c r="A42" s="5" t="n"/>
      <c r="B42" s="5" t="n"/>
      <c r="C42" s="5" t="n"/>
      <c r="D42" s="5" t="n"/>
      <c r="E42" s="5" t="n"/>
      <c r="F42" s="5" t="n"/>
      <c r="G42" s="6">
        <f>IF(AND($F42&lt;&gt;"完了",$F42&lt;&gt;"",$E42&lt;&gt;"",TODAY()&gt;$E42),TODAY()-$E42,"")</f>
        <v/>
      </c>
      <c r="H42" s="5" t="n"/>
    </row>
    <row r="43">
      <c r="A43" s="5" t="n"/>
      <c r="B43" s="5" t="n"/>
      <c r="C43" s="5" t="n"/>
      <c r="D43" s="5" t="n"/>
      <c r="E43" s="5" t="n"/>
      <c r="F43" s="5" t="n"/>
      <c r="G43" s="6">
        <f>IF(AND($F43&lt;&gt;"完了",$F43&lt;&gt;"",$E43&lt;&gt;"",TODAY()&gt;$E43),TODAY()-$E43,"")</f>
        <v/>
      </c>
      <c r="H43" s="5" t="n"/>
    </row>
    <row r="44">
      <c r="A44" s="5" t="n"/>
      <c r="B44" s="5" t="n"/>
      <c r="C44" s="5" t="n"/>
      <c r="D44" s="5" t="n"/>
      <c r="E44" s="5" t="n"/>
      <c r="F44" s="5" t="n"/>
      <c r="G44" s="6">
        <f>IF(AND($F44&lt;&gt;"完了",$F44&lt;&gt;"",$E44&lt;&gt;"",TODAY()&gt;$E44),TODAY()-$E44,"")</f>
        <v/>
      </c>
      <c r="H44" s="5" t="n"/>
    </row>
    <row r="45">
      <c r="A45" s="5" t="n"/>
      <c r="B45" s="5" t="n"/>
      <c r="C45" s="5" t="n"/>
      <c r="D45" s="5" t="n"/>
      <c r="E45" s="5" t="n"/>
      <c r="F45" s="5" t="n"/>
      <c r="G45" s="6">
        <f>IF(AND($F45&lt;&gt;"完了",$F45&lt;&gt;"",$E45&lt;&gt;"",TODAY()&gt;$E45),TODAY()-$E45,"")</f>
        <v/>
      </c>
      <c r="H45" s="5" t="n"/>
    </row>
    <row r="46">
      <c r="A46" s="5" t="n"/>
      <c r="B46" s="5" t="n"/>
      <c r="C46" s="5" t="n"/>
      <c r="D46" s="5" t="n"/>
      <c r="E46" s="5" t="n"/>
      <c r="F46" s="5" t="n"/>
      <c r="G46" s="6">
        <f>IF(AND($F46&lt;&gt;"完了",$F46&lt;&gt;"",$E46&lt;&gt;"",TODAY()&gt;$E46),TODAY()-$E46,"")</f>
        <v/>
      </c>
      <c r="H46" s="5" t="n"/>
    </row>
    <row r="47">
      <c r="A47" s="5" t="n"/>
      <c r="B47" s="5" t="n"/>
      <c r="C47" s="5" t="n"/>
      <c r="D47" s="5" t="n"/>
      <c r="E47" s="5" t="n"/>
      <c r="F47" s="5" t="n"/>
      <c r="G47" s="6">
        <f>IF(AND($F47&lt;&gt;"完了",$F47&lt;&gt;"",$E47&lt;&gt;"",TODAY()&gt;$E47),TODAY()-$E47,"")</f>
        <v/>
      </c>
      <c r="H47" s="5" t="n"/>
    </row>
    <row r="48">
      <c r="A48" s="5" t="n"/>
      <c r="B48" s="5" t="n"/>
      <c r="C48" s="5" t="n"/>
      <c r="D48" s="5" t="n"/>
      <c r="E48" s="5" t="n"/>
      <c r="F48" s="5" t="n"/>
      <c r="G48" s="6">
        <f>IF(AND($F48&lt;&gt;"完了",$F48&lt;&gt;"",$E48&lt;&gt;"",TODAY()&gt;$E48),TODAY()-$E48,"")</f>
        <v/>
      </c>
      <c r="H48" s="5" t="n"/>
    </row>
    <row r="49">
      <c r="A49" s="5" t="n"/>
      <c r="B49" s="5" t="n"/>
      <c r="C49" s="5" t="n"/>
      <c r="D49" s="5" t="n"/>
      <c r="E49" s="5" t="n"/>
      <c r="F49" s="5" t="n"/>
      <c r="G49" s="6">
        <f>IF(AND($F49&lt;&gt;"完了",$F49&lt;&gt;"",$E49&lt;&gt;"",TODAY()&gt;$E49),TODAY()-$E49,"")</f>
        <v/>
      </c>
      <c r="H49" s="5" t="n"/>
    </row>
    <row r="50">
      <c r="A50" s="5" t="n"/>
      <c r="B50" s="5" t="n"/>
      <c r="C50" s="5" t="n"/>
      <c r="D50" s="5" t="n"/>
      <c r="E50" s="5" t="n"/>
      <c r="F50" s="5" t="n"/>
      <c r="G50" s="6">
        <f>IF(AND($F50&lt;&gt;"完了",$F50&lt;&gt;"",$E50&lt;&gt;"",TODAY()&gt;$E50),TODAY()-$E50,"")</f>
        <v/>
      </c>
      <c r="H50" s="5" t="n"/>
    </row>
    <row r="51">
      <c r="A51" s="5" t="n"/>
      <c r="B51" s="5" t="n"/>
      <c r="C51" s="5" t="n"/>
      <c r="D51" s="5" t="n"/>
      <c r="E51" s="5" t="n"/>
      <c r="F51" s="5" t="n"/>
      <c r="G51" s="6">
        <f>IF(AND($F51&lt;&gt;"完了",$F51&lt;&gt;"",$E51&lt;&gt;"",TODAY()&gt;$E51),TODAY()-$E51,"")</f>
        <v/>
      </c>
      <c r="H51" s="5" t="n"/>
    </row>
  </sheetData>
  <conditionalFormatting sqref="G2:G51">
    <cfRule type="cellIs" priority="1" operator="greaterThanOrEqual" dxfId="0">
      <formula>5</formula>
    </cfRule>
    <cfRule type="cellIs" priority="2" operator="between" dxfId="1">
      <formula>3</formula>
      <formula>4.999</formula>
    </cfRule>
  </conditionalFormatting>
  <dataValidations count="2">
    <dataValidation sqref="B2:B51" showDropDown="0" showInputMessage="0" showErrorMessage="0" allowBlank="1" type="list">
      <formula1>"分科会・接点づくり,分科会・ライセンス営業改革,分科会・経営基盤強化,戦略会議,点検会議,週次レビュー,その他"</formula1>
    </dataValidation>
    <dataValidation sqref="F2:F51" showDropDown="0" showInputMessage="0" showErrorMessage="0" allowBlank="1" type="list">
      <formula1>"未着手,進行中,完了,保留"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4" customWidth="1" min="4" max="4"/>
    <col width="26" customWidth="1" min="5" max="5"/>
    <col width="24" customWidth="1" min="6" max="6"/>
    <col width="12" customWidth="1" min="7" max="7"/>
    <col width="10" customWidth="1" min="8" max="8"/>
  </cols>
  <sheetData>
    <row r="1">
      <c r="A1" s="4" t="inlineStr">
        <is>
          <t>日付</t>
        </is>
      </c>
      <c r="B1" s="4" t="inlineStr">
        <is>
          <t>起票者</t>
        </is>
      </c>
      <c r="C1" s="4" t="inlineStr">
        <is>
          <t>①詰まっていること</t>
        </is>
      </c>
      <c r="D1" s="4" t="inlineStr">
        <is>
          <t>②必要な判断</t>
        </is>
      </c>
      <c r="E1" s="4" t="inlineStr">
        <is>
          <t>③放置した場合の影響</t>
        </is>
      </c>
      <c r="F1" s="4" t="inlineStr">
        <is>
          <t>新谷の判断</t>
        </is>
      </c>
      <c r="G1" s="4" t="inlineStr">
        <is>
          <t>解消日</t>
        </is>
      </c>
      <c r="H1" s="4" t="inlineStr">
        <is>
          <t>所要日数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6">
        <f>IF(AND($A2&lt;&gt;"",$G2&lt;&gt;""),$G2-$A2,"")</f>
        <v/>
      </c>
    </row>
    <row r="3">
      <c r="A3" s="5" t="n"/>
      <c r="B3" s="5" t="n"/>
      <c r="C3" s="5" t="n"/>
      <c r="D3" s="5" t="n"/>
      <c r="E3" s="5" t="n"/>
      <c r="F3" s="5" t="n"/>
      <c r="G3" s="5" t="n"/>
      <c r="H3" s="6">
        <f>IF(AND($A3&lt;&gt;"",$G3&lt;&gt;""),$G3-$A3,"")</f>
        <v/>
      </c>
    </row>
    <row r="4">
      <c r="A4" s="5" t="n"/>
      <c r="B4" s="5" t="n"/>
      <c r="C4" s="5" t="n"/>
      <c r="D4" s="5" t="n"/>
      <c r="E4" s="5" t="n"/>
      <c r="F4" s="5" t="n"/>
      <c r="G4" s="5" t="n"/>
      <c r="H4" s="6">
        <f>IF(AND($A4&lt;&gt;"",$G4&lt;&gt;""),$G4-$A4,"")</f>
        <v/>
      </c>
    </row>
    <row r="5">
      <c r="A5" s="5" t="n"/>
      <c r="B5" s="5" t="n"/>
      <c r="C5" s="5" t="n"/>
      <c r="D5" s="5" t="n"/>
      <c r="E5" s="5" t="n"/>
      <c r="F5" s="5" t="n"/>
      <c r="G5" s="5" t="n"/>
      <c r="H5" s="6">
        <f>IF(AND($A5&lt;&gt;"",$G5&lt;&gt;""),$G5-$A5,"")</f>
        <v/>
      </c>
    </row>
    <row r="6">
      <c r="A6" s="5" t="n"/>
      <c r="B6" s="5" t="n"/>
      <c r="C6" s="5" t="n"/>
      <c r="D6" s="5" t="n"/>
      <c r="E6" s="5" t="n"/>
      <c r="F6" s="5" t="n"/>
      <c r="G6" s="5" t="n"/>
      <c r="H6" s="6">
        <f>IF(AND($A6&lt;&gt;"",$G6&lt;&gt;""),$G6-$A6,"")</f>
        <v/>
      </c>
    </row>
    <row r="7">
      <c r="A7" s="5" t="n"/>
      <c r="B7" s="5" t="n"/>
      <c r="C7" s="5" t="n"/>
      <c r="D7" s="5" t="n"/>
      <c r="E7" s="5" t="n"/>
      <c r="F7" s="5" t="n"/>
      <c r="G7" s="5" t="n"/>
      <c r="H7" s="6">
        <f>IF(AND($A7&lt;&gt;"",$G7&lt;&gt;""),$G7-$A7,"")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6">
        <f>IF(AND($A8&lt;&gt;"",$G8&lt;&gt;""),$G8-$A8,"")</f>
        <v/>
      </c>
    </row>
    <row r="9">
      <c r="A9" s="5" t="n"/>
      <c r="B9" s="5" t="n"/>
      <c r="C9" s="5" t="n"/>
      <c r="D9" s="5" t="n"/>
      <c r="E9" s="5" t="n"/>
      <c r="F9" s="5" t="n"/>
      <c r="G9" s="5" t="n"/>
      <c r="H9" s="6">
        <f>IF(AND($A9&lt;&gt;"",$G9&lt;&gt;""),$G9-$A9,"")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6">
        <f>IF(AND($A10&lt;&gt;"",$G10&lt;&gt;""),$G10-$A10,"")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6">
        <f>IF(AND($A11&lt;&gt;"",$G11&lt;&gt;""),$G11-$A11,"")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6">
        <f>IF(AND($A12&lt;&gt;"",$G12&lt;&gt;""),$G12-$A12,"")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6">
        <f>IF(AND($A13&lt;&gt;"",$G13&lt;&gt;""),$G13-$A13,"")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6">
        <f>IF(AND($A14&lt;&gt;"",$G14&lt;&gt;""),$G14-$A14,"")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6">
        <f>IF(AND($A15&lt;&gt;"",$G15&lt;&gt;""),$G15-$A15,"")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6">
        <f>IF(AND($A16&lt;&gt;"",$G16&lt;&gt;""),$G16-$A16,"")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6">
        <f>IF(AND($A17&lt;&gt;"",$G17&lt;&gt;""),$G17-$A17,"")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6">
        <f>IF(AND($A18&lt;&gt;"",$G18&lt;&gt;""),$G18-$A18,"")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6">
        <f>IF(AND($A19&lt;&gt;"",$G19&lt;&gt;""),$G19-$A19,"")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6">
        <f>IF(AND($A20&lt;&gt;"",$G20&lt;&gt;""),$G20-$A20,"")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6">
        <f>IF(AND($A21&lt;&gt;"",$G21&lt;&gt;""),$G21-$A21,"")</f>
        <v/>
      </c>
    </row>
  </sheetData>
  <dataValidations count="1">
    <dataValidation sqref="B2:B21" showDropDown="0" showInputMessage="0" showErrorMessage="0" allowBlank="1" type="list">
      <formula1>"新谷,小澤,坪井,大塩,柳沼"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RACI表 — 主要活動の役割分担</t>
        </is>
      </c>
    </row>
    <row r="2">
      <c r="A2" s="7" t="inlineStr">
        <is>
          <t>凡例：R=実行（Responsible）　A=説明責任（Accountable）　C=相談（Consulted）　I=報告（Informed）</t>
        </is>
      </c>
    </row>
    <row r="4">
      <c r="A4" s="4" t="inlineStr">
        <is>
          <t>主要活動</t>
        </is>
      </c>
      <c r="B4" s="4" t="inlineStr">
        <is>
          <t>新谷</t>
        </is>
      </c>
      <c r="C4" s="4" t="inlineStr">
        <is>
          <t>坪井さん</t>
        </is>
      </c>
      <c r="D4" s="4" t="inlineStr">
        <is>
          <t>岡田さん</t>
        </is>
      </c>
      <c r="E4" s="4" t="inlineStr">
        <is>
          <t>柳沼さん</t>
        </is>
      </c>
      <c r="F4" s="4" t="inlineStr">
        <is>
          <t>各部長</t>
        </is>
      </c>
      <c r="G4" s="4" t="inlineStr">
        <is>
          <t>分科会リーダー</t>
        </is>
      </c>
    </row>
    <row r="5">
      <c r="A5" s="8" t="inlineStr">
        <is>
          <t>棚卸しマスター管理</t>
        </is>
      </c>
      <c r="B5" s="9" t="inlineStr">
        <is>
          <t>A</t>
        </is>
      </c>
      <c r="C5" s="9" t="inlineStr">
        <is>
          <t>R</t>
        </is>
      </c>
      <c r="D5" s="10" t="inlineStr"/>
      <c r="E5" s="10" t="inlineStr"/>
      <c r="F5" s="10" t="inlineStr"/>
      <c r="G5" s="10" t="inlineStr"/>
    </row>
    <row r="6">
      <c r="A6" s="8" t="inlineStr">
        <is>
          <t>名寄せ・データ加工</t>
        </is>
      </c>
      <c r="B6" s="9" t="inlineStr">
        <is>
          <t>A</t>
        </is>
      </c>
      <c r="C6" s="9" t="inlineStr">
        <is>
          <t>R</t>
        </is>
      </c>
      <c r="D6" s="10" t="inlineStr"/>
      <c r="E6" s="10" t="inlineStr">
        <is>
          <t>C</t>
        </is>
      </c>
      <c r="F6" s="10" t="inlineStr"/>
      <c r="G6" s="10" t="inlineStr"/>
    </row>
    <row r="7">
      <c r="A7" s="8" t="inlineStr">
        <is>
          <t>財務データ受領・流し込み</t>
        </is>
      </c>
      <c r="B7" s="10" t="inlineStr">
        <is>
          <t>I</t>
        </is>
      </c>
      <c r="C7" s="9" t="inlineStr">
        <is>
          <t>R</t>
        </is>
      </c>
      <c r="D7" s="10" t="inlineStr"/>
      <c r="E7" s="10" t="inlineStr">
        <is>
          <t>C</t>
        </is>
      </c>
      <c r="F7" s="10" t="inlineStr"/>
      <c r="G7" s="10" t="inlineStr"/>
    </row>
    <row r="8">
      <c r="A8" s="8" t="inlineStr">
        <is>
          <t>スコアリング集計</t>
        </is>
      </c>
      <c r="B8" s="9" t="inlineStr">
        <is>
          <t>A</t>
        </is>
      </c>
      <c r="C8" s="9" t="inlineStr">
        <is>
          <t>R</t>
        </is>
      </c>
      <c r="D8" s="10" t="inlineStr"/>
      <c r="E8" s="10" t="inlineStr"/>
      <c r="F8" s="10" t="inlineStr">
        <is>
          <t>I</t>
        </is>
      </c>
      <c r="G8" s="10" t="inlineStr">
        <is>
          <t>I</t>
        </is>
      </c>
    </row>
    <row r="9">
      <c r="A9" s="8" t="inlineStr">
        <is>
          <t>採点の判断</t>
        </is>
      </c>
      <c r="B9" s="10" t="inlineStr">
        <is>
          <t>I</t>
        </is>
      </c>
      <c r="C9" s="10" t="inlineStr">
        <is>
          <t>I</t>
        </is>
      </c>
      <c r="D9" s="10" t="inlineStr"/>
      <c r="E9" s="10" t="inlineStr"/>
      <c r="F9" s="9" t="inlineStr">
        <is>
          <t>R</t>
        </is>
      </c>
      <c r="G9" s="9" t="inlineStr">
        <is>
          <t>A</t>
        </is>
      </c>
    </row>
    <row r="10">
      <c r="A10" s="8" t="inlineStr">
        <is>
          <t>KPI算出</t>
        </is>
      </c>
      <c r="B10" s="9" t="inlineStr">
        <is>
          <t>A</t>
        </is>
      </c>
      <c r="C10" s="9" t="inlineStr">
        <is>
          <t>R</t>
        </is>
      </c>
      <c r="D10" s="10" t="inlineStr"/>
      <c r="E10" s="10" t="inlineStr"/>
      <c r="F10" s="10" t="inlineStr">
        <is>
          <t>I</t>
        </is>
      </c>
      <c r="G10" s="10" t="inlineStr">
        <is>
          <t>I</t>
        </is>
      </c>
    </row>
    <row r="11">
      <c r="A11" s="8" t="inlineStr">
        <is>
          <t>会議日程・アジェンダ</t>
        </is>
      </c>
      <c r="B11" s="10" t="inlineStr">
        <is>
          <t>I</t>
        </is>
      </c>
      <c r="C11" s="10" t="inlineStr"/>
      <c r="D11" s="9" t="inlineStr">
        <is>
          <t>R</t>
        </is>
      </c>
      <c r="E11" s="10" t="inlineStr"/>
      <c r="F11" s="10" t="inlineStr">
        <is>
          <t>C</t>
        </is>
      </c>
      <c r="G11" s="10" t="inlineStr">
        <is>
          <t>C</t>
        </is>
      </c>
    </row>
    <row r="12">
      <c r="A12" s="8" t="inlineStr">
        <is>
          <t>議事録・宿題起票</t>
        </is>
      </c>
      <c r="B12" s="10" t="inlineStr">
        <is>
          <t>I</t>
        </is>
      </c>
      <c r="C12" s="10" t="inlineStr"/>
      <c r="D12" s="9" t="inlineStr">
        <is>
          <t>R</t>
        </is>
      </c>
      <c r="E12" s="10" t="inlineStr"/>
      <c r="F12" s="10" t="inlineStr"/>
      <c r="G12" s="10" t="inlineStr">
        <is>
          <t>C</t>
        </is>
      </c>
    </row>
    <row r="13">
      <c r="A13" s="8" t="inlineStr">
        <is>
          <t>宿題督促</t>
        </is>
      </c>
      <c r="B13" s="10" t="inlineStr">
        <is>
          <t>I</t>
        </is>
      </c>
      <c r="C13" s="10" t="inlineStr"/>
      <c r="D13" s="9" t="inlineStr">
        <is>
          <t>R</t>
        </is>
      </c>
      <c r="E13" s="10" t="inlineStr"/>
      <c r="F13" s="10" t="inlineStr">
        <is>
          <t>C</t>
        </is>
      </c>
      <c r="G13" s="10" t="inlineStr">
        <is>
          <t>C</t>
        </is>
      </c>
    </row>
    <row r="14">
      <c r="A14" s="8" t="inlineStr">
        <is>
          <t>エスカレーション対応</t>
        </is>
      </c>
      <c r="B14" s="9" t="inlineStr">
        <is>
          <t>A</t>
        </is>
      </c>
      <c r="C14" s="10" t="inlineStr">
        <is>
          <t>C</t>
        </is>
      </c>
      <c r="D14" s="9" t="inlineStr">
        <is>
          <t>R</t>
        </is>
      </c>
      <c r="E14" s="10" t="inlineStr"/>
      <c r="F14" s="10" t="inlineStr">
        <is>
          <t>C</t>
        </is>
      </c>
      <c r="G14" s="10" t="inlineStr">
        <is>
          <t>C</t>
        </is>
      </c>
    </row>
    <row r="15">
      <c r="A15" s="8" t="inlineStr">
        <is>
          <t>点検会議キーチャート作成</t>
        </is>
      </c>
      <c r="B15" s="9" t="inlineStr">
        <is>
          <t>A</t>
        </is>
      </c>
      <c r="C15" s="10" t="inlineStr">
        <is>
          <t>C</t>
        </is>
      </c>
      <c r="D15" s="9" t="inlineStr">
        <is>
          <t>R</t>
        </is>
      </c>
      <c r="E15" s="10" t="inlineStr"/>
      <c r="F15" s="10" t="inlineStr"/>
      <c r="G15" s="10" t="inlineStr">
        <is>
          <t>C</t>
        </is>
      </c>
    </row>
    <row r="16">
      <c r="A16" s="8" t="inlineStr">
        <is>
          <t>増員判断</t>
        </is>
      </c>
      <c r="B16" s="9" t="inlineStr">
        <is>
          <t>R/A</t>
        </is>
      </c>
      <c r="C16" s="10" t="inlineStr">
        <is>
          <t>C</t>
        </is>
      </c>
      <c r="D16" s="10" t="inlineStr">
        <is>
          <t>C</t>
        </is>
      </c>
      <c r="E16" s="10" t="inlineStr"/>
      <c r="F16" s="10" t="inlineStr"/>
      <c r="G16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3" max="3"/>
    <col width="24" customWidth="1" min="5" max="5"/>
    <col width="24" customWidth="1" min="7" max="7"/>
  </cols>
  <sheetData>
    <row r="1">
      <c r="A1" s="1" t="inlineStr">
        <is>
          <t>マスタ設定 — ドロップダウン参照リスト</t>
        </is>
      </c>
    </row>
    <row r="3">
      <c r="A3" s="4" t="inlineStr">
        <is>
          <t>会議体名</t>
        </is>
      </c>
      <c r="C3" s="4" t="inlineStr">
        <is>
          <t>ステータス</t>
        </is>
      </c>
      <c r="E3" s="4" t="inlineStr">
        <is>
          <t>担当者名簿</t>
        </is>
      </c>
      <c r="G3" s="4" t="inlineStr">
        <is>
          <t>エスカレーション有無</t>
        </is>
      </c>
    </row>
    <row r="4">
      <c r="A4" s="11" t="inlineStr">
        <is>
          <t>分科会・接点づくり</t>
        </is>
      </c>
      <c r="C4" s="11" t="inlineStr">
        <is>
          <t>未着手</t>
        </is>
      </c>
      <c r="E4" s="11" t="inlineStr">
        <is>
          <t>新谷</t>
        </is>
      </c>
      <c r="G4" s="11" t="inlineStr">
        <is>
          <t>有</t>
        </is>
      </c>
    </row>
    <row r="5">
      <c r="A5" s="11" t="inlineStr">
        <is>
          <t>分科会・ライセンス営業改革</t>
        </is>
      </c>
      <c r="C5" s="11" t="inlineStr">
        <is>
          <t>進行中</t>
        </is>
      </c>
      <c r="E5" s="11" t="inlineStr">
        <is>
          <t>小澤</t>
        </is>
      </c>
      <c r="G5" s="11" t="inlineStr">
        <is>
          <t>無</t>
        </is>
      </c>
    </row>
    <row r="6">
      <c r="A6" s="11" t="inlineStr">
        <is>
          <t>分科会・経営基盤強化</t>
        </is>
      </c>
      <c r="C6" s="11" t="inlineStr">
        <is>
          <t>完了</t>
        </is>
      </c>
      <c r="E6" s="11" t="inlineStr">
        <is>
          <t>坪井</t>
        </is>
      </c>
    </row>
    <row r="7">
      <c r="A7" s="11" t="inlineStr">
        <is>
          <t>戦略会議</t>
        </is>
      </c>
      <c r="C7" s="11" t="inlineStr">
        <is>
          <t>保留</t>
        </is>
      </c>
      <c r="E7" s="11" t="inlineStr">
        <is>
          <t>大塩</t>
        </is>
      </c>
    </row>
    <row r="8">
      <c r="A8" s="11" t="inlineStr">
        <is>
          <t>点検会議</t>
        </is>
      </c>
      <c r="E8" s="11" t="inlineStr">
        <is>
          <t>柳沼</t>
        </is>
      </c>
    </row>
    <row r="9">
      <c r="A9" s="11" t="inlineStr">
        <is>
          <t>週次レビュー</t>
        </is>
      </c>
    </row>
    <row r="10">
      <c r="A10" s="11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2026-07-11T03:11:33Z</dcterms:created>
  <dcterms:modified xmlns:dcterms="http://purl.org/dc/terms/" xmlns:xsi="http://www.w3.org/2001/XMLSchema-instance" xsi:type="dcterms:W3CDTF">2026-07-16T00:08:17Z</dcterms:modified>
</cp:coreProperties>
</file>