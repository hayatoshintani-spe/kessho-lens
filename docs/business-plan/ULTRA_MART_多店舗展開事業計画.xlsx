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前提条件" sheetId="2" state="visible" r:id="rId4"/>
    <sheet name="月次計画" sheetId="3" state="visible" r:id="rId5"/>
    <sheet name="東京実績分析"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5" authorId="0">
      <text>
        <r>
          <rPr>
            <sz val="10"/>
            <rFont val="WenQuanYi Zen Hei"/>
            <family val="2"/>
          </rPr>
          <t xml:space="preserve">出典</t>
        </r>
        <r>
          <rPr>
            <sz val="10"/>
            <rFont val="Arial"/>
            <family val="2"/>
          </rPr>
          <t xml:space="preserve">: ULTRA MART TOKYO 7</t>
        </r>
        <r>
          <rPr>
            <sz val="10"/>
            <rFont val="WenQuanYi Zen Hei"/>
            <family val="2"/>
          </rPr>
          <t xml:space="preserve">月実績。</t>
        </r>
        <r>
          <rPr>
            <sz val="10"/>
            <rFont val="Arial"/>
            <family val="2"/>
          </rPr>
          <t xml:space="preserve">7/25</t>
        </r>
        <r>
          <rPr>
            <sz val="10"/>
            <rFont val="WenQuanYi Zen Hei"/>
            <family val="2"/>
          </rPr>
          <t xml:space="preserve">〜</t>
        </r>
        <r>
          <rPr>
            <sz val="10"/>
            <rFont val="Arial"/>
            <family val="2"/>
          </rPr>
          <t xml:space="preserve">31</t>
        </r>
        <r>
          <rPr>
            <sz val="10"/>
            <rFont val="WenQuanYi Zen Hei"/>
            <family val="2"/>
          </rPr>
          <t xml:space="preserve">の平均日販</t>
        </r>
        <r>
          <rPr>
            <sz val="10"/>
            <rFont val="Arial"/>
            <family val="2"/>
          </rPr>
          <t xml:space="preserve">559,832</t>
        </r>
        <r>
          <rPr>
            <sz val="10"/>
            <rFont val="WenQuanYi Zen Hei"/>
            <family val="2"/>
          </rPr>
          <t xml:space="preserve">円、うち平日</t>
        </r>
        <r>
          <rPr>
            <sz val="10"/>
            <rFont val="Arial"/>
            <family val="2"/>
          </rPr>
          <t xml:space="preserve">5</t>
        </r>
        <r>
          <rPr>
            <sz val="10"/>
            <rFont val="WenQuanYi Zen Hei"/>
            <family val="2"/>
          </rPr>
          <t xml:space="preserve">日平均</t>
        </r>
        <r>
          <rPr>
            <sz val="10"/>
            <rFont val="Arial"/>
            <family val="2"/>
          </rPr>
          <t xml:space="preserve">502,619</t>
        </r>
        <r>
          <rPr>
            <sz val="10"/>
            <rFont val="WenQuanYi Zen Hei"/>
            <family val="2"/>
          </rPr>
          <t xml:space="preserve">円。オープン景気剥落後の水準として保守的に</t>
        </r>
        <r>
          <rPr>
            <sz val="10"/>
            <rFont val="Arial"/>
            <family val="2"/>
          </rPr>
          <t xml:space="preserve">48</t>
        </r>
        <r>
          <rPr>
            <sz val="10"/>
            <rFont val="WenQuanYi Zen Hei"/>
            <family val="2"/>
          </rPr>
          <t xml:space="preserve">万円と置いた。</t>
        </r>
      </text>
    </comment>
    <comment ref="B8" authorId="0">
      <text>
        <r>
          <rPr>
            <sz val="10"/>
            <rFont val="WenQuanYi Zen Hei"/>
            <family val="2"/>
          </rPr>
          <t xml:space="preserve">仮置き。キャラクター物販の一般的な季節性（夏休み</t>
        </r>
        <r>
          <rPr>
            <sz val="10"/>
            <rFont val="Arial"/>
            <family val="2"/>
          </rPr>
          <t xml:space="preserve">8</t>
        </r>
        <r>
          <rPr>
            <sz val="10"/>
            <rFont val="WenQuanYi Zen Hei"/>
            <family val="2"/>
          </rPr>
          <t xml:space="preserve">月・年末</t>
        </r>
        <r>
          <rPr>
            <sz val="10"/>
            <rFont val="Arial"/>
            <family val="2"/>
          </rPr>
          <t xml:space="preserve">12</t>
        </r>
        <r>
          <rPr>
            <sz val="10"/>
            <rFont val="WenQuanYi Zen Hei"/>
            <family val="2"/>
          </rPr>
          <t xml:space="preserve">月がピーク、</t>
        </r>
        <r>
          <rPr>
            <sz val="10"/>
            <rFont val="Arial"/>
            <family val="2"/>
          </rPr>
          <t xml:space="preserve">1-2</t>
        </r>
        <r>
          <rPr>
            <sz val="10"/>
            <rFont val="WenQuanYi Zen Hei"/>
            <family val="2"/>
          </rPr>
          <t xml:space="preserve">月が底）を想定。実績が蓄積したら更新してください。</t>
        </r>
      </text>
    </comment>
    <comment ref="B10" authorId="0">
      <text>
        <r>
          <rPr>
            <sz val="10"/>
            <rFont val="WenQuanYi Zen Hei"/>
            <family val="2"/>
          </rPr>
          <t xml:space="preserve">安定日販</t>
        </r>
        <r>
          <rPr>
            <sz val="10"/>
            <rFont val="Arial"/>
            <family val="2"/>
          </rPr>
          <t xml:space="preserve">×30</t>
        </r>
        <r>
          <rPr>
            <sz val="10"/>
            <rFont val="WenQuanYi Zen Hei"/>
            <family val="2"/>
          </rPr>
          <t xml:space="preserve">日 </t>
        </r>
        <r>
          <rPr>
            <sz val="10"/>
            <rFont val="Arial"/>
            <family val="2"/>
          </rPr>
          <t xml:space="preserve">÷ 7</t>
        </r>
        <r>
          <rPr>
            <sz val="10"/>
            <rFont val="WenQuanYi Zen Hei"/>
            <family val="2"/>
          </rPr>
          <t xml:space="preserve">月の季節指数。展開計画の売上はこの基準月商</t>
        </r>
        <r>
          <rPr>
            <sz val="10"/>
            <rFont val="Arial"/>
            <family val="2"/>
          </rPr>
          <t xml:space="preserve">×</t>
        </r>
        <r>
          <rPr>
            <sz val="10"/>
            <rFont val="WenQuanYi Zen Hei"/>
            <family val="2"/>
          </rPr>
          <t xml:space="preserve">地域係数</t>
        </r>
        <r>
          <rPr>
            <sz val="10"/>
            <rFont val="Arial"/>
            <family val="2"/>
          </rPr>
          <t xml:space="preserve">×</t>
        </r>
        <r>
          <rPr>
            <sz val="10"/>
            <rFont val="WenQuanYi Zen Hei"/>
            <family val="2"/>
          </rPr>
          <t xml:space="preserve">ランプ係数</t>
        </r>
        <r>
          <rPr>
            <sz val="10"/>
            <rFont val="Arial"/>
            <family val="2"/>
          </rPr>
          <t xml:space="preserve">×</t>
        </r>
        <r>
          <rPr>
            <sz val="10"/>
            <rFont val="WenQuanYi Zen Hei"/>
            <family val="2"/>
          </rPr>
          <t xml:space="preserve">季節指数で算出。</t>
        </r>
      </text>
    </comment>
    <comment ref="B42" authorId="0">
      <text>
        <r>
          <rPr>
            <sz val="10"/>
            <rFont val="WenQuanYi Zen Hei"/>
            <family val="2"/>
          </rPr>
          <t xml:space="preserve">仮置き。多店舗展開に伴う本部機能（</t>
        </r>
        <r>
          <rPr>
            <sz val="10"/>
            <rFont val="Arial"/>
            <family val="2"/>
          </rPr>
          <t xml:space="preserve">SV</t>
        </r>
        <r>
          <rPr>
            <sz val="10"/>
            <rFont val="WenQuanYi Zen Hei"/>
            <family val="2"/>
          </rPr>
          <t xml:space="preserve">・商品企画・</t>
        </r>
        <r>
          <rPr>
            <sz val="10"/>
            <rFont val="Arial"/>
            <family val="2"/>
          </rPr>
          <t xml:space="preserve">EC/</t>
        </r>
        <r>
          <rPr>
            <sz val="10"/>
            <rFont val="WenQuanYi Zen Hei"/>
            <family val="2"/>
          </rPr>
          <t xml:space="preserve">在庫管理等）の人件費・経費。</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2026</t>
        </r>
        <r>
          <rPr>
            <sz val="10"/>
            <rFont val="WenQuanYi Zen Hei"/>
            <family val="2"/>
          </rPr>
          <t xml:space="preserve">年</t>
        </r>
        <r>
          <rPr>
            <sz val="10"/>
            <rFont val="Arial"/>
            <family val="2"/>
          </rPr>
          <t xml:space="preserve">7</t>
        </r>
        <r>
          <rPr>
            <sz val="10"/>
            <rFont val="WenQuanYi Zen Hei"/>
            <family val="2"/>
          </rPr>
          <t xml:space="preserve">月</t>
        </r>
        <r>
          <rPr>
            <sz val="10"/>
            <rFont val="Arial"/>
            <family val="2"/>
          </rPr>
          <t xml:space="preserve">10</t>
        </r>
        <r>
          <rPr>
            <sz val="10"/>
            <rFont val="WenQuanYi Zen Hei"/>
            <family val="2"/>
          </rPr>
          <t xml:space="preserve">日〜</t>
        </r>
        <r>
          <rPr>
            <sz val="10"/>
            <rFont val="Arial"/>
            <family val="2"/>
          </rPr>
          <t xml:space="preserve">31</t>
        </r>
        <r>
          <rPr>
            <sz val="10"/>
            <rFont val="WenQuanYi Zen Hei"/>
            <family val="2"/>
          </rPr>
          <t xml:space="preserve">日の実績値（税抜・</t>
        </r>
        <r>
          <rPr>
            <sz val="10"/>
            <rFont val="Arial"/>
            <family val="2"/>
          </rPr>
          <t xml:space="preserve">7</t>
        </r>
        <r>
          <rPr>
            <sz val="10"/>
            <rFont val="WenQuanYi Zen Hei"/>
            <family val="2"/>
          </rPr>
          <t xml:space="preserve">月シートより）。</t>
        </r>
        <r>
          <rPr>
            <sz val="10"/>
            <rFont val="Arial"/>
            <family val="2"/>
          </rPr>
          <t xml:space="preserve">7/8-9</t>
        </r>
        <r>
          <rPr>
            <sz val="10"/>
            <rFont val="WenQuanYi Zen Hei"/>
            <family val="2"/>
          </rPr>
          <t xml:space="preserve">のプレ営業分</t>
        </r>
        <r>
          <rPr>
            <sz val="10"/>
            <rFont val="Arial"/>
            <family val="2"/>
          </rPr>
          <t xml:space="preserve">19,037</t>
        </r>
        <r>
          <rPr>
            <sz val="10"/>
            <rFont val="WenQuanYi Zen Hei"/>
            <family val="2"/>
          </rPr>
          <t xml:space="preserve">円は含まない。他の月は計画式。</t>
        </r>
      </text>
    </comment>
  </commentList>
</comments>
</file>

<file path=xl/sharedStrings.xml><?xml version="1.0" encoding="utf-8"?>
<sst xmlns="http://schemas.openxmlformats.org/spreadsheetml/2006/main" count="337" uniqueCount="222">
  <si>
    <r>
      <rPr>
        <b val="true"/>
        <sz val="16"/>
        <color rgb="FF000000"/>
        <rFont val="Meiryo"/>
        <family val="0"/>
        <charset val="1"/>
      </rPr>
      <t xml:space="preserve">ULTRA MART </t>
    </r>
    <r>
      <rPr>
        <b val="true"/>
        <sz val="16"/>
        <color rgb="FF000000"/>
        <rFont val="WenQuanYi Zen Hei"/>
        <family val="2"/>
      </rPr>
      <t xml:space="preserve">多店舗展開 事業計画（ドラフト）</t>
    </r>
  </si>
  <si>
    <r>
      <rPr>
        <sz val="10"/>
        <color rgb="FF808080"/>
        <rFont val="WenQuanYi Zen Hei"/>
        <family val="2"/>
      </rPr>
      <t xml:space="preserve">作成日</t>
    </r>
    <r>
      <rPr>
        <sz val="10"/>
        <color rgb="FF808080"/>
        <rFont val="Meiryo"/>
        <family val="0"/>
        <charset val="1"/>
      </rPr>
      <t xml:space="preserve">: 2026</t>
    </r>
    <r>
      <rPr>
        <sz val="10"/>
        <color rgb="FF808080"/>
        <rFont val="WenQuanYi Zen Hei"/>
        <family val="2"/>
      </rPr>
      <t xml:space="preserve">年</t>
    </r>
    <r>
      <rPr>
        <sz val="10"/>
        <color rgb="FF808080"/>
        <rFont val="Meiryo"/>
        <family val="0"/>
        <charset val="1"/>
      </rPr>
      <t xml:space="preserve">8</t>
    </r>
    <r>
      <rPr>
        <sz val="10"/>
        <color rgb="FF808080"/>
        <rFont val="WenQuanYi Zen Hei"/>
        <family val="2"/>
      </rPr>
      <t xml:space="preserve">月</t>
    </r>
    <r>
      <rPr>
        <sz val="10"/>
        <color rgb="FF808080"/>
        <rFont val="Meiryo"/>
        <family val="0"/>
        <charset val="1"/>
      </rPr>
      <t xml:space="preserve">3</t>
    </r>
    <r>
      <rPr>
        <sz val="10"/>
        <color rgb="FF808080"/>
        <rFont val="WenQuanYi Zen Hei"/>
        <family val="2"/>
      </rPr>
      <t xml:space="preserve">日　／　出典</t>
    </r>
    <r>
      <rPr>
        <sz val="10"/>
        <color rgb="FF808080"/>
        <rFont val="Meiryo"/>
        <family val="0"/>
        <charset val="1"/>
      </rPr>
      <t xml:space="preserve">: ULTRA MART TOKYO 2026</t>
    </r>
    <r>
      <rPr>
        <sz val="10"/>
        <color rgb="FF808080"/>
        <rFont val="WenQuanYi Zen Hei"/>
        <family val="2"/>
      </rPr>
      <t xml:space="preserve">年</t>
    </r>
    <r>
      <rPr>
        <sz val="10"/>
        <color rgb="FF808080"/>
        <rFont val="Meiryo"/>
        <family val="0"/>
        <charset val="1"/>
      </rPr>
      <t xml:space="preserve">7</t>
    </r>
    <r>
      <rPr>
        <sz val="10"/>
        <color rgb="FF808080"/>
        <rFont val="WenQuanYi Zen Hei"/>
        <family val="2"/>
      </rPr>
      <t xml:space="preserve">月実績（管理表）</t>
    </r>
  </si>
  <si>
    <t xml:space="preserve">緑字＝他シート参照。コスト・展開スケジュールはすべて「前提条件」シートの仮置き値で、変更すると全体に反映されます。</t>
  </si>
  <si>
    <r>
      <rPr>
        <b val="true"/>
        <sz val="10"/>
        <color rgb="FF000000"/>
        <rFont val="WenQuanYi Zen Hei"/>
        <family val="2"/>
      </rPr>
      <t xml:space="preserve">■ 東京</t>
    </r>
    <r>
      <rPr>
        <b val="true"/>
        <sz val="10"/>
        <color rgb="FF000000"/>
        <rFont val="Meiryo"/>
        <family val="0"/>
        <charset val="1"/>
      </rPr>
      <t xml:space="preserve">1</t>
    </r>
    <r>
      <rPr>
        <b val="true"/>
        <sz val="10"/>
        <color rgb="FF000000"/>
        <rFont val="WenQuanYi Zen Hei"/>
        <family val="2"/>
      </rPr>
      <t xml:space="preserve">号店 実績ハイライト（</t>
    </r>
    <r>
      <rPr>
        <b val="true"/>
        <sz val="10"/>
        <color rgb="FF000000"/>
        <rFont val="Meiryo"/>
        <family val="0"/>
        <charset val="1"/>
      </rPr>
      <t xml:space="preserve">2026/7/10</t>
    </r>
    <r>
      <rPr>
        <b val="true"/>
        <sz val="10"/>
        <color rgb="FF000000"/>
        <rFont val="WenQuanYi Zen Hei"/>
        <family val="2"/>
      </rPr>
      <t xml:space="preserve">〜</t>
    </r>
    <r>
      <rPr>
        <b val="true"/>
        <sz val="10"/>
        <color rgb="FF000000"/>
        <rFont val="Meiryo"/>
        <family val="0"/>
        <charset val="1"/>
      </rPr>
      <t xml:space="preserve">7/31</t>
    </r>
    <r>
      <rPr>
        <b val="true"/>
        <sz val="10"/>
        <color rgb="FF000000"/>
        <rFont val="WenQuanYi Zen Hei"/>
        <family val="2"/>
      </rPr>
      <t xml:space="preserve">・</t>
    </r>
    <r>
      <rPr>
        <b val="true"/>
        <sz val="10"/>
        <color rgb="FF000000"/>
        <rFont val="Meiryo"/>
        <family val="0"/>
        <charset val="1"/>
      </rPr>
      <t xml:space="preserve">22</t>
    </r>
    <r>
      <rPr>
        <b val="true"/>
        <sz val="10"/>
        <color rgb="FF000000"/>
        <rFont val="WenQuanYi Zen Hei"/>
        <family val="2"/>
      </rPr>
      <t xml:space="preserve">日間）</t>
    </r>
  </si>
  <si>
    <t xml:space="preserve">売上高（税抜）</t>
  </si>
  <si>
    <r>
      <rPr>
        <sz val="10"/>
        <color rgb="FF808080"/>
        <rFont val="WenQuanYi Zen Hei"/>
        <family val="2"/>
      </rPr>
      <t xml:space="preserve">オープン</t>
    </r>
    <r>
      <rPr>
        <sz val="10"/>
        <color rgb="FF808080"/>
        <rFont val="Meiryo"/>
        <family val="0"/>
        <charset val="1"/>
      </rPr>
      <t xml:space="preserve">3</t>
    </r>
    <r>
      <rPr>
        <sz val="10"/>
        <color rgb="FF808080"/>
        <rFont val="WenQuanYi Zen Hei"/>
        <family val="2"/>
      </rPr>
      <t xml:space="preserve">日間の日販 約</t>
    </r>
    <r>
      <rPr>
        <sz val="10"/>
        <color rgb="FF808080"/>
        <rFont val="Meiryo"/>
        <family val="0"/>
        <charset val="1"/>
      </rPr>
      <t xml:space="preserve">141</t>
    </r>
    <r>
      <rPr>
        <sz val="10"/>
        <color rgb="FF808080"/>
        <rFont val="WenQuanYi Zen Hei"/>
        <family val="2"/>
      </rPr>
      <t xml:space="preserve">万円 → 第</t>
    </r>
    <r>
      <rPr>
        <sz val="10"/>
        <color rgb="FF808080"/>
        <rFont val="Meiryo"/>
        <family val="0"/>
        <charset val="1"/>
      </rPr>
      <t xml:space="preserve">4</t>
    </r>
    <r>
      <rPr>
        <sz val="10"/>
        <color rgb="FF808080"/>
        <rFont val="WenQuanYi Zen Hei"/>
        <family val="2"/>
      </rPr>
      <t xml:space="preserve">週 約</t>
    </r>
    <r>
      <rPr>
        <sz val="10"/>
        <color rgb="FF808080"/>
        <rFont val="Meiryo"/>
        <family val="0"/>
        <charset val="1"/>
      </rPr>
      <t xml:space="preserve">50</t>
    </r>
    <r>
      <rPr>
        <sz val="10"/>
        <color rgb="FF808080"/>
        <rFont val="WenQuanYi Zen Hei"/>
        <family val="2"/>
      </rPr>
      <t xml:space="preserve">万円と、開業景気は</t>
    </r>
    <r>
      <rPr>
        <sz val="10"/>
        <color rgb="FF808080"/>
        <rFont val="Meiryo"/>
        <family val="0"/>
        <charset val="1"/>
      </rPr>
      <t xml:space="preserve">3</t>
    </r>
    <r>
      <rPr>
        <sz val="10"/>
        <color rgb="FF808080"/>
        <rFont val="WenQuanYi Zen Hei"/>
        <family val="2"/>
      </rPr>
      <t xml:space="preserve">週間で約</t>
    </r>
    <r>
      <rPr>
        <sz val="10"/>
        <color rgb="FF808080"/>
        <rFont val="Meiryo"/>
        <family val="0"/>
        <charset val="1"/>
      </rPr>
      <t xml:space="preserve">1/3</t>
    </r>
    <r>
      <rPr>
        <sz val="10"/>
        <color rgb="FF808080"/>
        <rFont val="WenQuanYi Zen Hei"/>
        <family val="2"/>
      </rPr>
      <t xml:space="preserve">に減衰。</t>
    </r>
  </si>
  <si>
    <t xml:space="preserve">日販平均</t>
  </si>
  <si>
    <r>
      <rPr>
        <sz val="10"/>
        <color rgb="FF808080"/>
        <rFont val="WenQuanYi Zen Hei"/>
        <family val="2"/>
      </rPr>
      <t xml:space="preserve">安定期の日販は平日 約</t>
    </r>
    <r>
      <rPr>
        <sz val="10"/>
        <color rgb="FF808080"/>
        <rFont val="Meiryo"/>
        <family val="0"/>
        <charset val="1"/>
      </rPr>
      <t xml:space="preserve">50</t>
    </r>
    <r>
      <rPr>
        <sz val="10"/>
        <color rgb="FF808080"/>
        <rFont val="WenQuanYi Zen Hei"/>
        <family val="2"/>
      </rPr>
      <t xml:space="preserve">万円・土日 約</t>
    </r>
    <r>
      <rPr>
        <sz val="10"/>
        <color rgb="FF808080"/>
        <rFont val="Meiryo"/>
        <family val="0"/>
        <charset val="1"/>
      </rPr>
      <t xml:space="preserve">65</t>
    </r>
    <r>
      <rPr>
        <sz val="10"/>
        <color rgb="FF808080"/>
        <rFont val="WenQuanYi Zen Hei"/>
        <family val="2"/>
      </rPr>
      <t xml:space="preserve">万円（詳細は「東京実績分析」シート）。</t>
    </r>
  </si>
  <si>
    <t xml:space="preserve">来店者数</t>
  </si>
  <si>
    <t xml:space="preserve">客単価（税抜）</t>
  </si>
  <si>
    <t xml:space="preserve">買上率</t>
  </si>
  <si>
    <t xml:space="preserve">■ 展開スケジュール（前提条件シートで変更可）</t>
  </si>
  <si>
    <t xml:space="preserve">店舗</t>
  </si>
  <si>
    <t xml:space="preserve">開業時期</t>
  </si>
  <si>
    <t xml:space="preserve">出店投資</t>
  </si>
  <si>
    <t xml:space="preserve">東京</t>
  </si>
  <si>
    <r>
      <rPr>
        <sz val="10"/>
        <color rgb="FF000000"/>
        <rFont val="Meiryo"/>
        <family val="0"/>
        <charset val="1"/>
      </rPr>
      <t xml:space="preserve">2026</t>
    </r>
    <r>
      <rPr>
        <sz val="10"/>
        <color rgb="FF000000"/>
        <rFont val="WenQuanYi Zen Hei"/>
        <family val="2"/>
      </rPr>
      <t xml:space="preserve">年</t>
    </r>
    <r>
      <rPr>
        <sz val="10"/>
        <color rgb="FF000000"/>
        <rFont val="Meiryo"/>
        <family val="0"/>
        <charset val="1"/>
      </rPr>
      <t xml:space="preserve">7</t>
    </r>
    <r>
      <rPr>
        <sz val="10"/>
        <color rgb="FF000000"/>
        <rFont val="WenQuanYi Zen Hei"/>
        <family val="2"/>
      </rPr>
      <t xml:space="preserve">月 開業済</t>
    </r>
  </si>
  <si>
    <t xml:space="preserve">大阪</t>
  </si>
  <si>
    <r>
      <rPr>
        <sz val="10"/>
        <color rgb="FF000000"/>
        <rFont val="Meiryo"/>
        <family val="0"/>
        <charset val="1"/>
      </rPr>
      <t xml:space="preserve">2026</t>
    </r>
    <r>
      <rPr>
        <sz val="10"/>
        <color rgb="FF000000"/>
        <rFont val="WenQuanYi Zen Hei"/>
        <family val="2"/>
      </rPr>
      <t xml:space="preserve">年</t>
    </r>
    <r>
      <rPr>
        <sz val="10"/>
        <color rgb="FF000000"/>
        <rFont val="Meiryo"/>
        <family val="0"/>
        <charset val="1"/>
      </rPr>
      <t xml:space="preserve">11</t>
    </r>
    <r>
      <rPr>
        <sz val="10"/>
        <color rgb="FF000000"/>
        <rFont val="WenQuanYi Zen Hei"/>
        <family val="2"/>
      </rPr>
      <t xml:space="preserve">月 開業想定</t>
    </r>
  </si>
  <si>
    <t xml:space="preserve">福岡</t>
  </si>
  <si>
    <r>
      <rPr>
        <sz val="10"/>
        <color rgb="FF000000"/>
        <rFont val="Meiryo"/>
        <family val="0"/>
        <charset val="1"/>
      </rPr>
      <t xml:space="preserve">2027</t>
    </r>
    <r>
      <rPr>
        <sz val="10"/>
        <color rgb="FF000000"/>
        <rFont val="WenQuanYi Zen Hei"/>
        <family val="2"/>
      </rPr>
      <t xml:space="preserve">年</t>
    </r>
    <r>
      <rPr>
        <sz val="10"/>
        <color rgb="FF000000"/>
        <rFont val="Meiryo"/>
        <family val="0"/>
        <charset val="1"/>
      </rPr>
      <t xml:space="preserve">3</t>
    </r>
    <r>
      <rPr>
        <sz val="10"/>
        <color rgb="FF000000"/>
        <rFont val="WenQuanYi Zen Hei"/>
        <family val="2"/>
      </rPr>
      <t xml:space="preserve">月 開業想定</t>
    </r>
  </si>
  <si>
    <t xml:space="preserve">■ 年度別計画（税抜・円）</t>
  </si>
  <si>
    <t xml:space="preserve">項目</t>
  </si>
  <si>
    <r>
      <rPr>
        <b val="true"/>
        <sz val="10"/>
        <color rgb="FF000000"/>
        <rFont val="Meiryo"/>
        <family val="0"/>
        <charset val="1"/>
      </rPr>
      <t xml:space="preserve">1</t>
    </r>
    <r>
      <rPr>
        <b val="true"/>
        <sz val="10"/>
        <color rgb="FF000000"/>
        <rFont val="WenQuanYi Zen Hei"/>
        <family val="2"/>
      </rPr>
      <t xml:space="preserve">年目 </t>
    </r>
    <r>
      <rPr>
        <b val="true"/>
        <sz val="10"/>
        <color rgb="FF000000"/>
        <rFont val="Meiryo"/>
        <family val="0"/>
        <charset val="1"/>
      </rPr>
      <t xml:space="preserve">(2026/7</t>
    </r>
    <r>
      <rPr>
        <b val="true"/>
        <sz val="10"/>
        <color rgb="FF000000"/>
        <rFont val="WenQuanYi Zen Hei"/>
        <family val="2"/>
      </rPr>
      <t xml:space="preserve">〜</t>
    </r>
    <r>
      <rPr>
        <b val="true"/>
        <sz val="10"/>
        <color rgb="FF000000"/>
        <rFont val="Meiryo"/>
        <family val="0"/>
        <charset val="1"/>
      </rPr>
      <t xml:space="preserve">2027/6)</t>
    </r>
  </si>
  <si>
    <r>
      <rPr>
        <b val="true"/>
        <sz val="10"/>
        <color rgb="FF000000"/>
        <rFont val="Meiryo"/>
        <family val="0"/>
        <charset val="1"/>
      </rPr>
      <t xml:space="preserve">2</t>
    </r>
    <r>
      <rPr>
        <b val="true"/>
        <sz val="10"/>
        <color rgb="FF000000"/>
        <rFont val="WenQuanYi Zen Hei"/>
        <family val="2"/>
      </rPr>
      <t xml:space="preserve">年目 </t>
    </r>
    <r>
      <rPr>
        <b val="true"/>
        <sz val="10"/>
        <color rgb="FF000000"/>
        <rFont val="Meiryo"/>
        <family val="0"/>
        <charset val="1"/>
      </rPr>
      <t xml:space="preserve">(2027/7</t>
    </r>
    <r>
      <rPr>
        <b val="true"/>
        <sz val="10"/>
        <color rgb="FF000000"/>
        <rFont val="WenQuanYi Zen Hei"/>
        <family val="2"/>
      </rPr>
      <t xml:space="preserve">〜</t>
    </r>
    <r>
      <rPr>
        <b val="true"/>
        <sz val="10"/>
        <color rgb="FF000000"/>
        <rFont val="Meiryo"/>
        <family val="0"/>
        <charset val="1"/>
      </rPr>
      <t xml:space="preserve">2028/6)</t>
    </r>
  </si>
  <si>
    <t xml:space="preserve">売上高　東京</t>
  </si>
  <si>
    <t xml:space="preserve">売上高　大阪</t>
  </si>
  <si>
    <t xml:space="preserve">売上高　福岡</t>
  </si>
  <si>
    <t xml:space="preserve">連結売上高</t>
  </si>
  <si>
    <t xml:space="preserve">店舗営業利益計</t>
  </si>
  <si>
    <t xml:space="preserve">本部費</t>
  </si>
  <si>
    <t xml:space="preserve">連結営業利益</t>
  </si>
  <si>
    <r>
      <rPr>
        <b val="true"/>
        <sz val="10"/>
        <color rgb="FF000000"/>
        <rFont val="WenQuanYi Zen Hei"/>
        <family val="2"/>
      </rPr>
      <t xml:space="preserve">■ 安定期の店舗別 月次モデル（開業</t>
    </r>
    <r>
      <rPr>
        <b val="true"/>
        <sz val="10"/>
        <color rgb="FF000000"/>
        <rFont val="Meiryo"/>
        <family val="0"/>
        <charset val="1"/>
      </rPr>
      <t xml:space="preserve">3</t>
    </r>
    <r>
      <rPr>
        <b val="true"/>
        <sz val="10"/>
        <color rgb="FF000000"/>
        <rFont val="WenQuanYi Zen Hei"/>
        <family val="2"/>
      </rPr>
      <t xml:space="preserve">ヶ月目以降・季節指数</t>
    </r>
    <r>
      <rPr>
        <b val="true"/>
        <sz val="10"/>
        <color rgb="FF000000"/>
        <rFont val="Meiryo"/>
        <family val="0"/>
        <charset val="1"/>
      </rPr>
      <t xml:space="preserve">1.0</t>
    </r>
    <r>
      <rPr>
        <b val="true"/>
        <sz val="10"/>
        <color rgb="FF000000"/>
        <rFont val="WenQuanYi Zen Hei"/>
        <family val="2"/>
      </rPr>
      <t xml:space="preserve">時）</t>
    </r>
  </si>
  <si>
    <t xml:space="preserve">売上高</t>
  </si>
  <si>
    <t xml:space="preserve">売上原価</t>
  </si>
  <si>
    <t xml:space="preserve">売上総利益</t>
  </si>
  <si>
    <t xml:space="preserve">ロイヤリティ</t>
  </si>
  <si>
    <t xml:space="preserve">家賃</t>
  </si>
  <si>
    <t xml:space="preserve">人件費</t>
  </si>
  <si>
    <t xml:space="preserve">イベント運営費</t>
  </si>
  <si>
    <t xml:space="preserve">その他販管費</t>
  </si>
  <si>
    <t xml:space="preserve">減価償却費</t>
  </si>
  <si>
    <t xml:space="preserve">営業利益</t>
  </si>
  <si>
    <t xml:space="preserve">営業利益率</t>
  </si>
  <si>
    <t xml:space="preserve">償却前営業利益</t>
  </si>
  <si>
    <t xml:space="preserve">投資回収月数（償却前利益ベース）</t>
  </si>
  <si>
    <t xml:space="preserve">■ 前提・留意事項</t>
  </si>
  <si>
    <r>
      <rPr>
        <sz val="10"/>
        <color rgb="FF000000"/>
        <rFont val="Meiryo"/>
        <family val="0"/>
        <charset val="1"/>
      </rPr>
      <t xml:space="preserve">1. </t>
    </r>
    <r>
      <rPr>
        <sz val="10"/>
        <color rgb="FF000000"/>
        <rFont val="WenQuanYi Zen Hei"/>
        <family val="2"/>
      </rPr>
      <t xml:space="preserve">売上以外のコスト（原価率・家賃・人件費・ロイヤリティ・投資額等）はすべて仮置きです。実数を「前提条件」シートに反映してください。</t>
    </r>
  </si>
  <si>
    <r>
      <rPr>
        <sz val="10"/>
        <color rgb="FF000000"/>
        <rFont val="Meiryo"/>
        <family val="0"/>
        <charset val="1"/>
      </rPr>
      <t xml:space="preserve">2. </t>
    </r>
    <r>
      <rPr>
        <sz val="10"/>
        <color rgb="FF000000"/>
        <rFont val="WenQuanYi Zen Hei"/>
        <family val="2"/>
      </rPr>
      <t xml:space="preserve">東京の</t>
    </r>
    <r>
      <rPr>
        <sz val="10"/>
        <color rgb="FF000000"/>
        <rFont val="Meiryo"/>
        <family val="0"/>
        <charset val="1"/>
      </rPr>
      <t xml:space="preserve">2026</t>
    </r>
    <r>
      <rPr>
        <sz val="10"/>
        <color rgb="FF000000"/>
        <rFont val="WenQuanYi Zen Hei"/>
        <family val="2"/>
      </rPr>
      <t xml:space="preserve">年</t>
    </r>
    <r>
      <rPr>
        <sz val="10"/>
        <color rgb="FF000000"/>
        <rFont val="Meiryo"/>
        <family val="0"/>
        <charset val="1"/>
      </rPr>
      <t xml:space="preserve">7</t>
    </r>
    <r>
      <rPr>
        <sz val="10"/>
        <color rgb="FF000000"/>
        <rFont val="WenQuanYi Zen Hei"/>
        <family val="2"/>
      </rPr>
      <t xml:space="preserve">月売上のみ実績値。それ以外はすべて 基準月商</t>
    </r>
    <r>
      <rPr>
        <sz val="10"/>
        <color rgb="FF000000"/>
        <rFont val="Meiryo"/>
        <family val="0"/>
        <charset val="1"/>
      </rPr>
      <t xml:space="preserve">×</t>
    </r>
    <r>
      <rPr>
        <sz val="10"/>
        <color rgb="FF000000"/>
        <rFont val="WenQuanYi Zen Hei"/>
        <family val="2"/>
      </rPr>
      <t xml:space="preserve">地域係数</t>
    </r>
    <r>
      <rPr>
        <sz val="10"/>
        <color rgb="FF000000"/>
        <rFont val="Meiryo"/>
        <family val="0"/>
        <charset val="1"/>
      </rPr>
      <t xml:space="preserve">×</t>
    </r>
    <r>
      <rPr>
        <sz val="10"/>
        <color rgb="FF000000"/>
        <rFont val="WenQuanYi Zen Hei"/>
        <family val="2"/>
      </rPr>
      <t xml:space="preserve">ランプ係数</t>
    </r>
    <r>
      <rPr>
        <sz val="10"/>
        <color rgb="FF000000"/>
        <rFont val="Meiryo"/>
        <family val="0"/>
        <charset val="1"/>
      </rPr>
      <t xml:space="preserve">×</t>
    </r>
    <r>
      <rPr>
        <sz val="10"/>
        <color rgb="FF000000"/>
        <rFont val="WenQuanYi Zen Hei"/>
        <family val="2"/>
      </rPr>
      <t xml:space="preserve">季節指数 による計画値です。</t>
    </r>
  </si>
  <si>
    <r>
      <rPr>
        <sz val="10"/>
        <color rgb="FF000000"/>
        <rFont val="Meiryo"/>
        <family val="0"/>
        <charset val="1"/>
      </rPr>
      <t xml:space="preserve">3. </t>
    </r>
    <r>
      <rPr>
        <sz val="10"/>
        <color rgb="FF000000"/>
        <rFont val="WenQuanYi Zen Hei"/>
        <family val="2"/>
      </rPr>
      <t xml:space="preserve">東京実績はオープン景気の減衰が大きく（</t>
    </r>
    <r>
      <rPr>
        <sz val="10"/>
        <color rgb="FF000000"/>
        <rFont val="Meiryo"/>
        <family val="0"/>
        <charset val="1"/>
      </rPr>
      <t xml:space="preserve">3</t>
    </r>
    <r>
      <rPr>
        <sz val="10"/>
        <color rgb="FF000000"/>
        <rFont val="WenQuanYi Zen Hei"/>
        <family val="2"/>
      </rPr>
      <t xml:space="preserve">週間で日販約</t>
    </r>
    <r>
      <rPr>
        <sz val="10"/>
        <color rgb="FF000000"/>
        <rFont val="Meiryo"/>
        <family val="0"/>
        <charset val="1"/>
      </rPr>
      <t xml:space="preserve">1/3</t>
    </r>
    <r>
      <rPr>
        <sz val="10"/>
        <color rgb="FF000000"/>
        <rFont val="WenQuanYi Zen Hei"/>
        <family val="2"/>
      </rPr>
      <t xml:space="preserve">）、本計画は「安定日販</t>
    </r>
    <r>
      <rPr>
        <sz val="10"/>
        <color rgb="FF000000"/>
        <rFont val="Meiryo"/>
        <family val="0"/>
        <charset val="1"/>
      </rPr>
      <t xml:space="preserve">48</t>
    </r>
    <r>
      <rPr>
        <sz val="10"/>
        <color rgb="FF000000"/>
        <rFont val="WenQuanYi Zen Hei"/>
        <family val="2"/>
      </rPr>
      <t xml:space="preserve">万円」を前提にしています。実際の安定水準の見極めが最重要です。</t>
    </r>
  </si>
  <si>
    <r>
      <rPr>
        <sz val="10"/>
        <color rgb="FF000000"/>
        <rFont val="Meiryo"/>
        <family val="0"/>
        <charset val="1"/>
      </rPr>
      <t xml:space="preserve">4. </t>
    </r>
    <r>
      <rPr>
        <sz val="10"/>
        <color rgb="FF000000"/>
        <rFont val="WenQuanYi Zen Hei"/>
        <family val="2"/>
      </rPr>
      <t xml:space="preserve">集客はキャラクターグリーティング（毎日開催）に強く依存しています。出演スケジュールの持続可能性とコストが計画の前提です。</t>
    </r>
  </si>
  <si>
    <r>
      <rPr>
        <sz val="10"/>
        <color rgb="FF000000"/>
        <rFont val="Meiryo"/>
        <family val="0"/>
        <charset val="1"/>
      </rPr>
      <t xml:space="preserve">5. </t>
    </r>
    <r>
      <rPr>
        <sz val="10"/>
        <color rgb="FF000000"/>
        <rFont val="WenQuanYi Zen Hei"/>
        <family val="2"/>
      </rPr>
      <t xml:space="preserve">売上の約</t>
    </r>
    <r>
      <rPr>
        <sz val="10"/>
        <color rgb="FF000000"/>
        <rFont val="Meiryo"/>
        <family val="0"/>
        <charset val="1"/>
      </rPr>
      <t xml:space="preserve">2</t>
    </r>
    <r>
      <rPr>
        <sz val="10"/>
        <color rgb="FF000000"/>
        <rFont val="WenQuanYi Zen Hei"/>
        <family val="2"/>
      </rPr>
      <t xml:space="preserve">割を</t>
    </r>
    <r>
      <rPr>
        <sz val="10"/>
        <color rgb="FF000000"/>
        <rFont val="Meiryo"/>
        <family val="0"/>
        <charset val="1"/>
      </rPr>
      <t xml:space="preserve">mofusand</t>
    </r>
    <r>
      <rPr>
        <sz val="10"/>
        <color rgb="FF000000"/>
        <rFont val="WenQuanYi Zen Hei"/>
        <family val="2"/>
      </rPr>
      <t xml:space="preserve">コラボ商品が占めており、コラボ企画の継続・入替が売上維持の鍵です。</t>
    </r>
  </si>
  <si>
    <r>
      <rPr>
        <sz val="10"/>
        <color rgb="FF000000"/>
        <rFont val="Meiryo"/>
        <family val="0"/>
        <charset val="1"/>
      </rPr>
      <t xml:space="preserve">6. </t>
    </r>
    <r>
      <rPr>
        <sz val="10"/>
        <color rgb="FF000000"/>
        <rFont val="WenQuanYi Zen Hei"/>
        <family val="2"/>
      </rPr>
      <t xml:space="preserve">ライセンス契約（ロイヤリティ・地域展開の可否）は権利元との協議事項であり、本計画には反映していません。</t>
    </r>
  </si>
  <si>
    <r>
      <rPr>
        <sz val="10"/>
        <color rgb="FF000000"/>
        <rFont val="Meiryo"/>
        <family val="0"/>
        <charset val="1"/>
      </rPr>
      <t xml:space="preserve">7. </t>
    </r>
    <r>
      <rPr>
        <sz val="10"/>
        <color rgb="FF000000"/>
        <rFont val="WenQuanYi Zen Hei"/>
        <family val="2"/>
      </rPr>
      <t xml:space="preserve">福岡は現在の仮置きコストでは安定期に月次▲</t>
    </r>
    <r>
      <rPr>
        <sz val="10"/>
        <color rgb="FF000000"/>
        <rFont val="Meiryo"/>
        <family val="0"/>
        <charset val="1"/>
      </rPr>
      <t xml:space="preserve">12</t>
    </r>
    <r>
      <rPr>
        <sz val="10"/>
        <color rgb="FF000000"/>
        <rFont val="WenQuanYi Zen Hei"/>
        <family val="2"/>
      </rPr>
      <t xml:space="preserve">万円と損益分岐点近傍です。軽量フォーマット（売場縮小・期間限定ポップアップ型）の検討を推奨します。</t>
    </r>
  </si>
  <si>
    <r>
      <rPr>
        <sz val="10"/>
        <color rgb="FF000000"/>
        <rFont val="Meiryo"/>
        <family val="0"/>
        <charset val="1"/>
      </rPr>
      <t xml:space="preserve">8. </t>
    </r>
    <r>
      <rPr>
        <sz val="10"/>
        <color rgb="FF000000"/>
        <rFont val="WenQuanYi Zen Hei"/>
        <family val="2"/>
      </rPr>
      <t xml:space="preserve">現在の仮置きでは店舗営業利益計（</t>
    </r>
    <r>
      <rPr>
        <sz val="10"/>
        <color rgb="FF000000"/>
        <rFont val="Meiryo"/>
        <family val="0"/>
        <charset val="1"/>
      </rPr>
      <t xml:space="preserve">1</t>
    </r>
    <r>
      <rPr>
        <sz val="10"/>
        <color rgb="FF000000"/>
        <rFont val="WenQuanYi Zen Hei"/>
        <family val="2"/>
      </rPr>
      <t xml:space="preserve">年目 約</t>
    </r>
    <r>
      <rPr>
        <sz val="10"/>
        <color rgb="FF000000"/>
        <rFont val="Meiryo"/>
        <family val="0"/>
        <charset val="1"/>
      </rPr>
      <t xml:space="preserve">1,455</t>
    </r>
    <r>
      <rPr>
        <sz val="10"/>
        <color rgb="FF000000"/>
        <rFont val="WenQuanYi Zen Hei"/>
        <family val="2"/>
      </rPr>
      <t xml:space="preserve">万円）が本部費（月</t>
    </r>
    <r>
      <rPr>
        <sz val="10"/>
        <color rgb="FF000000"/>
        <rFont val="Meiryo"/>
        <family val="0"/>
        <charset val="1"/>
      </rPr>
      <t xml:space="preserve">150</t>
    </r>
    <r>
      <rPr>
        <sz val="10"/>
        <color rgb="FF000000"/>
        <rFont val="WenQuanYi Zen Hei"/>
        <family val="2"/>
      </rPr>
      <t xml:space="preserve">万円＝年</t>
    </r>
    <r>
      <rPr>
        <sz val="10"/>
        <color rgb="FF000000"/>
        <rFont val="Meiryo"/>
        <family val="0"/>
        <charset val="1"/>
      </rPr>
      <t xml:space="preserve">1,800</t>
    </r>
    <r>
      <rPr>
        <sz val="10"/>
        <color rgb="FF000000"/>
        <rFont val="WenQuanYi Zen Hei"/>
        <family val="2"/>
      </rPr>
      <t xml:space="preserve">万円）を下回り、連結は赤字です。本部費の圧縮（既存本社機能との共用等）か、各都市を開業景気を刈り取る期間限定ポップアップ型で回す戦略が現実的な選択肢です。</t>
    </r>
  </si>
  <si>
    <r>
      <rPr>
        <sz val="10"/>
        <color rgb="FF000000"/>
        <rFont val="Meiryo"/>
        <family val="0"/>
        <charset val="1"/>
      </rPr>
      <t xml:space="preserve">9. </t>
    </r>
    <r>
      <rPr>
        <sz val="10"/>
        <color rgb="FF000000"/>
        <rFont val="WenQuanYi Zen Hei"/>
        <family val="2"/>
      </rPr>
      <t xml:space="preserve">開業月は月初からのフル営業を前提としています（東京同様に月中開業の場合、開業月の売上は日割りで減少します）。</t>
    </r>
  </si>
  <si>
    <r>
      <rPr>
        <b val="true"/>
        <sz val="14"/>
        <color rgb="FF000000"/>
        <rFont val="WenQuanYi Zen Hei"/>
        <family val="2"/>
      </rPr>
      <t xml:space="preserve">【前提条件】</t>
    </r>
    <r>
      <rPr>
        <b val="true"/>
        <sz val="14"/>
        <color rgb="FF000000"/>
        <rFont val="Meiryo"/>
        <family val="0"/>
        <charset val="1"/>
      </rPr>
      <t xml:space="preserve">ULTRA MART </t>
    </r>
    <r>
      <rPr>
        <b val="true"/>
        <sz val="14"/>
        <color rgb="FF000000"/>
        <rFont val="WenQuanYi Zen Hei"/>
        <family val="2"/>
      </rPr>
      <t xml:space="preserve">多店舗展開計画</t>
    </r>
  </si>
  <si>
    <r>
      <rPr>
        <sz val="10"/>
        <color rgb="FF808080"/>
        <rFont val="WenQuanYi Zen Hei"/>
        <family val="2"/>
      </rPr>
      <t xml:space="preserve">凡例</t>
    </r>
    <r>
      <rPr>
        <sz val="10"/>
        <color rgb="FF808080"/>
        <rFont val="Meiryo"/>
        <family val="0"/>
        <charset val="1"/>
      </rPr>
      <t xml:space="preserve">: </t>
    </r>
    <r>
      <rPr>
        <sz val="10"/>
        <color rgb="FF808080"/>
        <rFont val="WenQuanYi Zen Hei"/>
        <family val="2"/>
      </rPr>
      <t xml:space="preserve">黄色セル（青字）＝仮置きの入力値。実数が判明したら差し替えてください。それ以外の黒字セルは自動計算です。</t>
    </r>
  </si>
  <si>
    <t xml:space="preserve">■ 売上前提</t>
  </si>
  <si>
    <t xml:space="preserve">東京 安定日販（税抜・円）</t>
  </si>
  <si>
    <r>
      <rPr>
        <sz val="10"/>
        <color rgb="FF000000"/>
        <rFont val="WenQuanYi Zen Hei"/>
        <family val="2"/>
      </rPr>
      <t xml:space="preserve">出典</t>
    </r>
    <r>
      <rPr>
        <sz val="10"/>
        <color rgb="FF000000"/>
        <rFont val="Meiryo"/>
        <family val="0"/>
        <charset val="1"/>
      </rPr>
      <t xml:space="preserve">: </t>
    </r>
    <r>
      <rPr>
        <sz val="10"/>
        <color rgb="FF000000"/>
        <rFont val="WenQuanYi Zen Hei"/>
        <family val="2"/>
      </rPr>
      <t xml:space="preserve">東京</t>
    </r>
    <r>
      <rPr>
        <sz val="10"/>
        <color rgb="FF000000"/>
        <rFont val="Meiryo"/>
        <family val="0"/>
        <charset val="1"/>
      </rPr>
      <t xml:space="preserve">7</t>
    </r>
    <r>
      <rPr>
        <sz val="10"/>
        <color rgb="FF000000"/>
        <rFont val="WenQuanYi Zen Hei"/>
        <family val="2"/>
      </rPr>
      <t xml:space="preserve">月下旬実績（最終週 平日平均 約</t>
    </r>
    <r>
      <rPr>
        <sz val="10"/>
        <color rgb="FF000000"/>
        <rFont val="Meiryo"/>
        <family val="0"/>
        <charset val="1"/>
      </rPr>
      <t xml:space="preserve">50</t>
    </r>
    <r>
      <rPr>
        <sz val="10"/>
        <color rgb="FF000000"/>
        <rFont val="WenQuanYi Zen Hei"/>
        <family val="2"/>
      </rPr>
      <t xml:space="preserve">万円）より保守的に設定</t>
    </r>
  </si>
  <si>
    <r>
      <rPr>
        <sz val="10"/>
        <color rgb="FF000000"/>
        <rFont val="WenQuanYi Zen Hei"/>
        <family val="2"/>
      </rPr>
      <t xml:space="preserve">季節指数（暦月別・年平均≒</t>
    </r>
    <r>
      <rPr>
        <sz val="10"/>
        <color rgb="FF000000"/>
        <rFont val="Meiryo"/>
        <family val="0"/>
        <charset val="1"/>
      </rPr>
      <t xml:space="preserve">1.0</t>
    </r>
    <r>
      <rPr>
        <sz val="10"/>
        <color rgb="FF000000"/>
        <rFont val="WenQuanYi Zen Hei"/>
        <family val="2"/>
      </rPr>
      <t xml:space="preserve">）</t>
    </r>
  </si>
  <si>
    <r>
      <rPr>
        <b val="true"/>
        <sz val="10"/>
        <color rgb="FF000000"/>
        <rFont val="Meiryo"/>
        <family val="0"/>
        <charset val="1"/>
      </rPr>
      <t xml:space="preserve">1</t>
    </r>
    <r>
      <rPr>
        <b val="true"/>
        <sz val="10"/>
        <color rgb="FF000000"/>
        <rFont val="WenQuanYi Zen Hei"/>
        <family val="2"/>
      </rPr>
      <t xml:space="preserve">月</t>
    </r>
  </si>
  <si>
    <r>
      <rPr>
        <b val="true"/>
        <sz val="10"/>
        <color rgb="FF000000"/>
        <rFont val="Meiryo"/>
        <family val="0"/>
        <charset val="1"/>
      </rPr>
      <t xml:space="preserve">2</t>
    </r>
    <r>
      <rPr>
        <b val="true"/>
        <sz val="10"/>
        <color rgb="FF000000"/>
        <rFont val="WenQuanYi Zen Hei"/>
        <family val="2"/>
      </rPr>
      <t xml:space="preserve">月</t>
    </r>
  </si>
  <si>
    <r>
      <rPr>
        <b val="true"/>
        <sz val="10"/>
        <color rgb="FF000000"/>
        <rFont val="Meiryo"/>
        <family val="0"/>
        <charset val="1"/>
      </rPr>
      <t xml:space="preserve">3</t>
    </r>
    <r>
      <rPr>
        <b val="true"/>
        <sz val="10"/>
        <color rgb="FF000000"/>
        <rFont val="WenQuanYi Zen Hei"/>
        <family val="2"/>
      </rPr>
      <t xml:space="preserve">月</t>
    </r>
  </si>
  <si>
    <r>
      <rPr>
        <b val="true"/>
        <sz val="10"/>
        <color rgb="FF000000"/>
        <rFont val="Meiryo"/>
        <family val="0"/>
        <charset val="1"/>
      </rPr>
      <t xml:space="preserve">4</t>
    </r>
    <r>
      <rPr>
        <b val="true"/>
        <sz val="10"/>
        <color rgb="FF000000"/>
        <rFont val="WenQuanYi Zen Hei"/>
        <family val="2"/>
      </rPr>
      <t xml:space="preserve">月</t>
    </r>
  </si>
  <si>
    <r>
      <rPr>
        <b val="true"/>
        <sz val="10"/>
        <color rgb="FF000000"/>
        <rFont val="Meiryo"/>
        <family val="0"/>
        <charset val="1"/>
      </rPr>
      <t xml:space="preserve">5</t>
    </r>
    <r>
      <rPr>
        <b val="true"/>
        <sz val="10"/>
        <color rgb="FF000000"/>
        <rFont val="WenQuanYi Zen Hei"/>
        <family val="2"/>
      </rPr>
      <t xml:space="preserve">月</t>
    </r>
  </si>
  <si>
    <r>
      <rPr>
        <b val="true"/>
        <sz val="10"/>
        <color rgb="FF000000"/>
        <rFont val="Meiryo"/>
        <family val="0"/>
        <charset val="1"/>
      </rPr>
      <t xml:space="preserve">6</t>
    </r>
    <r>
      <rPr>
        <b val="true"/>
        <sz val="10"/>
        <color rgb="FF000000"/>
        <rFont val="WenQuanYi Zen Hei"/>
        <family val="2"/>
      </rPr>
      <t xml:space="preserve">月</t>
    </r>
  </si>
  <si>
    <r>
      <rPr>
        <b val="true"/>
        <sz val="10"/>
        <color rgb="FF000000"/>
        <rFont val="Meiryo"/>
        <family val="0"/>
        <charset val="1"/>
      </rPr>
      <t xml:space="preserve">7</t>
    </r>
    <r>
      <rPr>
        <b val="true"/>
        <sz val="10"/>
        <color rgb="FF000000"/>
        <rFont val="WenQuanYi Zen Hei"/>
        <family val="2"/>
      </rPr>
      <t xml:space="preserve">月</t>
    </r>
  </si>
  <si>
    <r>
      <rPr>
        <b val="true"/>
        <sz val="10"/>
        <color rgb="FF000000"/>
        <rFont val="Meiryo"/>
        <family val="0"/>
        <charset val="1"/>
      </rPr>
      <t xml:space="preserve">8</t>
    </r>
    <r>
      <rPr>
        <b val="true"/>
        <sz val="10"/>
        <color rgb="FF000000"/>
        <rFont val="WenQuanYi Zen Hei"/>
        <family val="2"/>
      </rPr>
      <t xml:space="preserve">月</t>
    </r>
  </si>
  <si>
    <r>
      <rPr>
        <b val="true"/>
        <sz val="10"/>
        <color rgb="FF000000"/>
        <rFont val="Meiryo"/>
        <family val="0"/>
        <charset val="1"/>
      </rPr>
      <t xml:space="preserve">9</t>
    </r>
    <r>
      <rPr>
        <b val="true"/>
        <sz val="10"/>
        <color rgb="FF000000"/>
        <rFont val="WenQuanYi Zen Hei"/>
        <family val="2"/>
      </rPr>
      <t xml:space="preserve">月</t>
    </r>
  </si>
  <si>
    <r>
      <rPr>
        <b val="true"/>
        <sz val="10"/>
        <color rgb="FF000000"/>
        <rFont val="Meiryo"/>
        <family val="0"/>
        <charset val="1"/>
      </rPr>
      <t xml:space="preserve">10</t>
    </r>
    <r>
      <rPr>
        <b val="true"/>
        <sz val="10"/>
        <color rgb="FF000000"/>
        <rFont val="WenQuanYi Zen Hei"/>
        <family val="2"/>
      </rPr>
      <t xml:space="preserve">月</t>
    </r>
  </si>
  <si>
    <r>
      <rPr>
        <b val="true"/>
        <sz val="10"/>
        <color rgb="FF000000"/>
        <rFont val="Meiryo"/>
        <family val="0"/>
        <charset val="1"/>
      </rPr>
      <t xml:space="preserve">11</t>
    </r>
    <r>
      <rPr>
        <b val="true"/>
        <sz val="10"/>
        <color rgb="FF000000"/>
        <rFont val="WenQuanYi Zen Hei"/>
        <family val="2"/>
      </rPr>
      <t xml:space="preserve">月</t>
    </r>
  </si>
  <si>
    <r>
      <rPr>
        <b val="true"/>
        <sz val="10"/>
        <color rgb="FF000000"/>
        <rFont val="Meiryo"/>
        <family val="0"/>
        <charset val="1"/>
      </rPr>
      <t xml:space="preserve">12</t>
    </r>
    <r>
      <rPr>
        <b val="true"/>
        <sz val="10"/>
        <color rgb="FF000000"/>
        <rFont val="WenQuanYi Zen Hei"/>
        <family val="2"/>
      </rPr>
      <t xml:space="preserve">月</t>
    </r>
  </si>
  <si>
    <r>
      <rPr>
        <sz val="10"/>
        <color rgb="FF000000"/>
        <rFont val="WenQuanYi Zen Hei"/>
        <family val="2"/>
      </rPr>
      <t xml:space="preserve">基準月商（税抜・季節指数</t>
    </r>
    <r>
      <rPr>
        <sz val="10"/>
        <color rgb="FF000000"/>
        <rFont val="Meiryo"/>
        <family val="0"/>
        <charset val="1"/>
      </rPr>
      <t xml:space="preserve">1.0</t>
    </r>
    <r>
      <rPr>
        <sz val="10"/>
        <color rgb="FF000000"/>
        <rFont val="WenQuanYi Zen Hei"/>
        <family val="2"/>
      </rPr>
      <t xml:space="preserve">換算）</t>
    </r>
  </si>
  <si>
    <r>
      <rPr>
        <sz val="10"/>
        <color rgb="FF000000"/>
        <rFont val="WenQuanYi Zen Hei"/>
        <family val="2"/>
      </rPr>
      <t xml:space="preserve">計算式</t>
    </r>
    <r>
      <rPr>
        <sz val="10"/>
        <color rgb="FF000000"/>
        <rFont val="Meiryo"/>
        <family val="0"/>
        <charset val="1"/>
      </rPr>
      <t xml:space="preserve">: </t>
    </r>
    <r>
      <rPr>
        <sz val="10"/>
        <color rgb="FF000000"/>
        <rFont val="WenQuanYi Zen Hei"/>
        <family val="2"/>
      </rPr>
      <t xml:space="preserve">安定日販 </t>
    </r>
    <r>
      <rPr>
        <sz val="10"/>
        <color rgb="FF000000"/>
        <rFont val="Meiryo"/>
        <family val="0"/>
        <charset val="1"/>
      </rPr>
      <t xml:space="preserve">× 30</t>
    </r>
    <r>
      <rPr>
        <sz val="10"/>
        <color rgb="FF000000"/>
        <rFont val="WenQuanYi Zen Hei"/>
        <family val="2"/>
      </rPr>
      <t xml:space="preserve">日 </t>
    </r>
    <r>
      <rPr>
        <sz val="10"/>
        <color rgb="FF000000"/>
        <rFont val="Meiryo"/>
        <family val="0"/>
        <charset val="1"/>
      </rPr>
      <t xml:space="preserve">÷ 7</t>
    </r>
    <r>
      <rPr>
        <sz val="10"/>
        <color rgb="FF000000"/>
        <rFont val="WenQuanYi Zen Hei"/>
        <family val="2"/>
      </rPr>
      <t xml:space="preserve">月季節指数</t>
    </r>
  </si>
  <si>
    <t xml:space="preserve">地域係数（商圏規模による売上補正）</t>
  </si>
  <si>
    <r>
      <rPr>
        <sz val="10"/>
        <color rgb="FF000000"/>
        <rFont val="WenQuanYi Zen Hei"/>
        <family val="2"/>
      </rPr>
      <t xml:space="preserve">基準（</t>
    </r>
    <r>
      <rPr>
        <sz val="10"/>
        <color rgb="FF000000"/>
        <rFont val="Meiryo"/>
        <family val="0"/>
        <charset val="1"/>
      </rPr>
      <t xml:space="preserve">1</t>
    </r>
    <r>
      <rPr>
        <sz val="10"/>
        <color rgb="FF000000"/>
        <rFont val="WenQuanYi Zen Hei"/>
        <family val="2"/>
      </rPr>
      <t xml:space="preserve">号店実績）</t>
    </r>
  </si>
  <si>
    <t xml:space="preserve">仮置き。梅田・難波等の主要商業施設立地を想定</t>
  </si>
  <si>
    <t xml:space="preserve">仮置き。天神・博多の商業施設立地を想定（商圏規模を考慮）</t>
  </si>
  <si>
    <t xml:space="preserve">ランプ係数（開業からの月齢による売上倍率）</t>
  </si>
  <si>
    <r>
      <rPr>
        <sz val="10"/>
        <color rgb="FF000000"/>
        <rFont val="WenQuanYi Zen Hei"/>
        <family val="2"/>
      </rPr>
      <t xml:space="preserve">開業</t>
    </r>
    <r>
      <rPr>
        <sz val="10"/>
        <color rgb="FF000000"/>
        <rFont val="Meiryo"/>
        <family val="0"/>
        <charset val="1"/>
      </rPr>
      <t xml:space="preserve">1</t>
    </r>
    <r>
      <rPr>
        <sz val="10"/>
        <color rgb="FF000000"/>
        <rFont val="WenQuanYi Zen Hei"/>
        <family val="2"/>
      </rPr>
      <t xml:space="preserve">ヶ月目</t>
    </r>
  </si>
  <si>
    <r>
      <rPr>
        <sz val="10"/>
        <color rgb="FF000000"/>
        <rFont val="WenQuanYi Zen Hei"/>
        <family val="2"/>
      </rPr>
      <t xml:space="preserve">東京実績</t>
    </r>
    <r>
      <rPr>
        <sz val="10"/>
        <color rgb="FF000000"/>
        <rFont val="Meiryo"/>
        <family val="0"/>
        <charset val="1"/>
      </rPr>
      <t xml:space="preserve">: 7</t>
    </r>
    <r>
      <rPr>
        <sz val="10"/>
        <color rgb="FF000000"/>
        <rFont val="WenQuanYi Zen Hei"/>
        <family val="2"/>
      </rPr>
      <t xml:space="preserve">月</t>
    </r>
    <r>
      <rPr>
        <sz val="10"/>
        <color rgb="FF000000"/>
        <rFont val="Meiryo"/>
        <family val="0"/>
        <charset val="1"/>
      </rPr>
      <t xml:space="preserve">(22</t>
    </r>
    <r>
      <rPr>
        <sz val="10"/>
        <color rgb="FF000000"/>
        <rFont val="WenQuanYi Zen Hei"/>
        <family val="2"/>
      </rPr>
      <t xml:space="preserve">日間</t>
    </r>
    <r>
      <rPr>
        <sz val="10"/>
        <color rgb="FF000000"/>
        <rFont val="Meiryo"/>
        <family val="0"/>
        <charset val="1"/>
      </rPr>
      <t xml:space="preserve">)</t>
    </r>
    <r>
      <rPr>
        <sz val="10"/>
        <color rgb="FF000000"/>
        <rFont val="WenQuanYi Zen Hei"/>
        <family val="2"/>
      </rPr>
      <t xml:space="preserve">の日販</t>
    </r>
    <r>
      <rPr>
        <sz val="10"/>
        <color rgb="FF000000"/>
        <rFont val="Meiryo"/>
        <family val="0"/>
        <charset val="1"/>
      </rPr>
      <t xml:space="preserve">785,102</t>
    </r>
    <r>
      <rPr>
        <sz val="10"/>
        <color rgb="FF000000"/>
        <rFont val="WenQuanYi Zen Hei"/>
        <family val="2"/>
      </rPr>
      <t xml:space="preserve">円を</t>
    </r>
    <r>
      <rPr>
        <sz val="10"/>
        <color rgb="FF000000"/>
        <rFont val="Meiryo"/>
        <family val="0"/>
        <charset val="1"/>
      </rPr>
      <t xml:space="preserve">30</t>
    </r>
    <r>
      <rPr>
        <sz val="10"/>
        <color rgb="FF000000"/>
        <rFont val="WenQuanYi Zen Hei"/>
        <family val="2"/>
      </rPr>
      <t xml:space="preserve">日換算した月商約</t>
    </r>
    <r>
      <rPr>
        <sz val="10"/>
        <color rgb="FF000000"/>
        <rFont val="Meiryo"/>
        <family val="0"/>
        <charset val="1"/>
      </rPr>
      <t xml:space="preserve">2,355</t>
    </r>
    <r>
      <rPr>
        <sz val="10"/>
        <color rgb="FF000000"/>
        <rFont val="WenQuanYi Zen Hei"/>
        <family val="2"/>
      </rPr>
      <t xml:space="preserve">万円 ≒ 基準月商</t>
    </r>
    <r>
      <rPr>
        <sz val="10"/>
        <color rgb="FF000000"/>
        <rFont val="Meiryo"/>
        <family val="0"/>
        <charset val="1"/>
      </rPr>
      <t xml:space="preserve">×7</t>
    </r>
    <r>
      <rPr>
        <sz val="10"/>
        <color rgb="FF000000"/>
        <rFont val="WenQuanYi Zen Hei"/>
        <family val="2"/>
      </rPr>
      <t xml:space="preserve">月季節指数</t>
    </r>
    <r>
      <rPr>
        <sz val="10"/>
        <color rgb="FF000000"/>
        <rFont val="Meiryo"/>
        <family val="0"/>
        <charset val="1"/>
      </rPr>
      <t xml:space="preserve">×1.6</t>
    </r>
  </si>
  <si>
    <r>
      <rPr>
        <sz val="10"/>
        <color rgb="FF000000"/>
        <rFont val="WenQuanYi Zen Hei"/>
        <family val="2"/>
      </rPr>
      <t xml:space="preserve">開業</t>
    </r>
    <r>
      <rPr>
        <sz val="10"/>
        <color rgb="FF000000"/>
        <rFont val="Meiryo"/>
        <family val="0"/>
        <charset val="1"/>
      </rPr>
      <t xml:space="preserve">2</t>
    </r>
    <r>
      <rPr>
        <sz val="10"/>
        <color rgb="FF000000"/>
        <rFont val="WenQuanYi Zen Hei"/>
        <family val="2"/>
      </rPr>
      <t xml:space="preserve">ヶ月目</t>
    </r>
  </si>
  <si>
    <r>
      <rPr>
        <sz val="10"/>
        <color rgb="FF000000"/>
        <rFont val="WenQuanYi Zen Hei"/>
        <family val="2"/>
      </rPr>
      <t xml:space="preserve">東京</t>
    </r>
    <r>
      <rPr>
        <sz val="10"/>
        <color rgb="FF000000"/>
        <rFont val="Meiryo"/>
        <family val="0"/>
        <charset val="1"/>
      </rPr>
      <t xml:space="preserve">8/1-2</t>
    </r>
    <r>
      <rPr>
        <sz val="10"/>
        <color rgb="FF000000"/>
        <rFont val="WenQuanYi Zen Hei"/>
        <family val="2"/>
      </rPr>
      <t xml:space="preserve">実績（日販約</t>
    </r>
    <r>
      <rPr>
        <sz val="10"/>
        <color rgb="FF000000"/>
        <rFont val="Meiryo"/>
        <family val="0"/>
        <charset val="1"/>
      </rPr>
      <t xml:space="preserve">65</t>
    </r>
    <r>
      <rPr>
        <sz val="10"/>
        <color rgb="FF000000"/>
        <rFont val="WenQuanYi Zen Hei"/>
        <family val="2"/>
      </rPr>
      <t xml:space="preserve">万円</t>
    </r>
    <r>
      <rPr>
        <sz val="10"/>
        <color rgb="FF000000"/>
        <rFont val="Meiryo"/>
        <family val="0"/>
        <charset val="1"/>
      </rPr>
      <t xml:space="preserve">/</t>
    </r>
    <r>
      <rPr>
        <sz val="10"/>
        <color rgb="FF000000"/>
        <rFont val="WenQuanYi Zen Hei"/>
        <family val="2"/>
      </rPr>
      <t xml:space="preserve">週末）からの推定</t>
    </r>
  </si>
  <si>
    <r>
      <rPr>
        <sz val="10"/>
        <color rgb="FF000000"/>
        <rFont val="WenQuanYi Zen Hei"/>
        <family val="2"/>
      </rPr>
      <t xml:space="preserve">開業</t>
    </r>
    <r>
      <rPr>
        <sz val="10"/>
        <color rgb="FF000000"/>
        <rFont val="Meiryo"/>
        <family val="0"/>
        <charset val="1"/>
      </rPr>
      <t xml:space="preserve">3</t>
    </r>
    <r>
      <rPr>
        <sz val="10"/>
        <color rgb="FF000000"/>
        <rFont val="WenQuanYi Zen Hei"/>
        <family val="2"/>
      </rPr>
      <t xml:space="preserve">ヶ月目以降</t>
    </r>
  </si>
  <si>
    <t xml:space="preserve">安定期</t>
  </si>
  <si>
    <r>
      <rPr>
        <b val="true"/>
        <sz val="10"/>
        <color rgb="FF000000"/>
        <rFont val="WenQuanYi Zen Hei"/>
        <family val="2"/>
      </rPr>
      <t xml:space="preserve">■ 出店計画（月インデックス</t>
    </r>
    <r>
      <rPr>
        <b val="true"/>
        <sz val="10"/>
        <color rgb="FF000000"/>
        <rFont val="Meiryo"/>
        <family val="0"/>
        <charset val="1"/>
      </rPr>
      <t xml:space="preserve">: 1 = 2026</t>
    </r>
    <r>
      <rPr>
        <b val="true"/>
        <sz val="10"/>
        <color rgb="FF000000"/>
        <rFont val="WenQuanYi Zen Hei"/>
        <family val="2"/>
      </rPr>
      <t xml:space="preserve">年</t>
    </r>
    <r>
      <rPr>
        <b val="true"/>
        <sz val="10"/>
        <color rgb="FF000000"/>
        <rFont val="Meiryo"/>
        <family val="0"/>
        <charset val="1"/>
      </rPr>
      <t xml:space="preserve">7</t>
    </r>
    <r>
      <rPr>
        <b val="true"/>
        <sz val="10"/>
        <color rgb="FF000000"/>
        <rFont val="WenQuanYi Zen Hei"/>
        <family val="2"/>
      </rPr>
      <t xml:space="preserve">月）</t>
    </r>
  </si>
  <si>
    <r>
      <rPr>
        <sz val="10"/>
        <color rgb="FF000000"/>
        <rFont val="Meiryo"/>
        <family val="0"/>
        <charset val="1"/>
      </rPr>
      <t xml:space="preserve">2026</t>
    </r>
    <r>
      <rPr>
        <sz val="10"/>
        <color rgb="FF000000"/>
        <rFont val="WenQuanYi Zen Hei"/>
        <family val="2"/>
      </rPr>
      <t xml:space="preserve">年</t>
    </r>
    <r>
      <rPr>
        <sz val="10"/>
        <color rgb="FF000000"/>
        <rFont val="Meiryo"/>
        <family val="0"/>
        <charset val="1"/>
      </rPr>
      <t xml:space="preserve">7</t>
    </r>
    <r>
      <rPr>
        <sz val="10"/>
        <color rgb="FF000000"/>
        <rFont val="WenQuanYi Zen Hei"/>
        <family val="2"/>
      </rPr>
      <t xml:space="preserve">月</t>
    </r>
    <r>
      <rPr>
        <sz val="10"/>
        <color rgb="FF000000"/>
        <rFont val="Meiryo"/>
        <family val="0"/>
        <charset val="1"/>
      </rPr>
      <t xml:space="preserve">10</t>
    </r>
    <r>
      <rPr>
        <sz val="10"/>
        <color rgb="FF000000"/>
        <rFont val="WenQuanYi Zen Hei"/>
        <family val="2"/>
      </rPr>
      <t xml:space="preserve">日 開業済（実績反映）</t>
    </r>
  </si>
  <si>
    <r>
      <rPr>
        <sz val="10"/>
        <color rgb="FF000000"/>
        <rFont val="Meiryo"/>
        <family val="0"/>
        <charset val="1"/>
      </rPr>
      <t xml:space="preserve">2026</t>
    </r>
    <r>
      <rPr>
        <sz val="10"/>
        <color rgb="FF000000"/>
        <rFont val="WenQuanYi Zen Hei"/>
        <family val="2"/>
      </rPr>
      <t xml:space="preserve">年</t>
    </r>
    <r>
      <rPr>
        <sz val="10"/>
        <color rgb="FF000000"/>
        <rFont val="Meiryo"/>
        <family val="0"/>
        <charset val="1"/>
      </rPr>
      <t xml:space="preserve">11</t>
    </r>
    <r>
      <rPr>
        <sz val="10"/>
        <color rgb="FF000000"/>
        <rFont val="WenQuanYi Zen Hei"/>
        <family val="2"/>
      </rPr>
      <t xml:space="preserve">月 開業想定（物件契約〜内装で約</t>
    </r>
    <r>
      <rPr>
        <sz val="10"/>
        <color rgb="FF000000"/>
        <rFont val="Meiryo"/>
        <family val="0"/>
        <charset val="1"/>
      </rPr>
      <t xml:space="preserve">3</t>
    </r>
    <r>
      <rPr>
        <sz val="10"/>
        <color rgb="FF000000"/>
        <rFont val="WenQuanYi Zen Hei"/>
        <family val="2"/>
      </rPr>
      <t xml:space="preserve">ヶ月を想定）</t>
    </r>
  </si>
  <si>
    <r>
      <rPr>
        <sz val="10"/>
        <color rgb="FF000000"/>
        <rFont val="Meiryo"/>
        <family val="0"/>
        <charset val="1"/>
      </rPr>
      <t xml:space="preserve">2027</t>
    </r>
    <r>
      <rPr>
        <sz val="10"/>
        <color rgb="FF000000"/>
        <rFont val="WenQuanYi Zen Hei"/>
        <family val="2"/>
      </rPr>
      <t xml:space="preserve">年</t>
    </r>
    <r>
      <rPr>
        <sz val="10"/>
        <color rgb="FF000000"/>
        <rFont val="Meiryo"/>
        <family val="0"/>
        <charset val="1"/>
      </rPr>
      <t xml:space="preserve">3</t>
    </r>
    <r>
      <rPr>
        <sz val="10"/>
        <color rgb="FF000000"/>
        <rFont val="WenQuanYi Zen Hei"/>
        <family val="2"/>
      </rPr>
      <t xml:space="preserve">月 開業想定（大阪の立ち上げ検証後）</t>
    </r>
  </si>
  <si>
    <t xml:space="preserve">■ コスト前提（売上比率）※すべて仮置き・要実数反映</t>
  </si>
  <si>
    <t xml:space="preserve">売上原価率</t>
  </si>
  <si>
    <r>
      <rPr>
        <sz val="10"/>
        <color rgb="FF000000"/>
        <rFont val="WenQuanYi Zen Hei"/>
        <family val="2"/>
      </rPr>
      <t xml:space="preserve">仮置き。キャラクター雑貨物販の一般的水準（</t>
    </r>
    <r>
      <rPr>
        <sz val="10"/>
        <color rgb="FF000000"/>
        <rFont val="Meiryo"/>
        <family val="0"/>
        <charset val="1"/>
      </rPr>
      <t xml:space="preserve">40</t>
    </r>
    <r>
      <rPr>
        <sz val="10"/>
        <color rgb="FF000000"/>
        <rFont val="WenQuanYi Zen Hei"/>
        <family val="2"/>
      </rPr>
      <t xml:space="preserve">〜</t>
    </r>
    <r>
      <rPr>
        <sz val="10"/>
        <color rgb="FF000000"/>
        <rFont val="Meiryo"/>
        <family val="0"/>
        <charset val="1"/>
      </rPr>
      <t xml:space="preserve">50%</t>
    </r>
    <r>
      <rPr>
        <sz val="10"/>
        <color rgb="FF000000"/>
        <rFont val="WenQuanYi Zen Hei"/>
        <family val="2"/>
      </rPr>
      <t xml:space="preserve">）の中央値</t>
    </r>
  </si>
  <si>
    <t xml:space="preserve">ライセンスロイヤリティ率</t>
  </si>
  <si>
    <t xml:space="preserve">仮置き。ライセンス契約条件により大きく変動（要確認）</t>
  </si>
  <si>
    <t xml:space="preserve">その他販管費（変動）率</t>
  </si>
  <si>
    <t xml:space="preserve">仮置き。決済手数料・包材・物流等</t>
  </si>
  <si>
    <t xml:space="preserve">■ コスト前提（店舗別・月額）※すべて仮置き・要実数反映</t>
  </si>
  <si>
    <t xml:space="preserve">備考</t>
  </si>
  <si>
    <t xml:space="preserve">家賃（月額）</t>
  </si>
  <si>
    <t xml:space="preserve">仮置き。商業施設内区画を想定。歩合家賃契約の場合は要修正</t>
  </si>
  <si>
    <t xml:space="preserve">人件費（月額）</t>
  </si>
  <si>
    <r>
      <rPr>
        <sz val="10"/>
        <color rgb="FF000000"/>
        <rFont val="WenQuanYi Zen Hei"/>
        <family val="2"/>
      </rPr>
      <t xml:space="preserve">仮置き。販売スタッフ体制（店長</t>
    </r>
    <r>
      <rPr>
        <sz val="10"/>
        <color rgb="FF000000"/>
        <rFont val="Meiryo"/>
        <family val="0"/>
        <charset val="1"/>
      </rPr>
      <t xml:space="preserve">1</t>
    </r>
    <r>
      <rPr>
        <sz val="10"/>
        <color rgb="FF000000"/>
        <rFont val="WenQuanYi Zen Hei"/>
        <family val="2"/>
      </rPr>
      <t xml:space="preserve">＋スタッフ</t>
    </r>
    <r>
      <rPr>
        <sz val="10"/>
        <color rgb="FF000000"/>
        <rFont val="Meiryo"/>
        <family val="0"/>
        <charset val="1"/>
      </rPr>
      <t xml:space="preserve">4</t>
    </r>
    <r>
      <rPr>
        <sz val="10"/>
        <color rgb="FF000000"/>
        <rFont val="WenQuanYi Zen Hei"/>
        <family val="2"/>
      </rPr>
      <t xml:space="preserve">〜</t>
    </r>
    <r>
      <rPr>
        <sz val="10"/>
        <color rgb="FF000000"/>
        <rFont val="Meiryo"/>
        <family val="0"/>
        <charset val="1"/>
      </rPr>
      <t xml:space="preserve">5</t>
    </r>
    <r>
      <rPr>
        <sz val="10"/>
        <color rgb="FF000000"/>
        <rFont val="WenQuanYi Zen Hei"/>
        <family val="2"/>
      </rPr>
      <t xml:space="preserve">名シフト）</t>
    </r>
  </si>
  <si>
    <t xml:space="preserve">イベント運営費（月額）</t>
  </si>
  <si>
    <t xml:space="preserve">仮置き。キャラクター出演・アテンド・整理券運営（毎日開催前提）</t>
  </si>
  <si>
    <t xml:space="preserve">その他固定費（月額）</t>
  </si>
  <si>
    <t xml:space="preserve">仮置き。水道光熱・通信・警備・雑費</t>
  </si>
  <si>
    <t xml:space="preserve">出店投資（内装・什器・保証金等）</t>
  </si>
  <si>
    <t xml:space="preserve">仮置き。東京は参考値（既払い）。減価償却の計算に使用</t>
  </si>
  <si>
    <t xml:space="preserve">減価償却年数（年・定額法）</t>
  </si>
  <si>
    <t xml:space="preserve">■ 本部費</t>
  </si>
  <si>
    <t xml:space="preserve">本部費（月額・連結）</t>
  </si>
  <si>
    <r>
      <rPr>
        <sz val="10"/>
        <color rgb="FF000000"/>
        <rFont val="WenQuanYi Zen Hei"/>
        <family val="2"/>
      </rPr>
      <t xml:space="preserve">仮置き。</t>
    </r>
    <r>
      <rPr>
        <sz val="10"/>
        <color rgb="FF000000"/>
        <rFont val="Meiryo"/>
        <family val="0"/>
        <charset val="1"/>
      </rPr>
      <t xml:space="preserve">SV</t>
    </r>
    <r>
      <rPr>
        <sz val="10"/>
        <color rgb="FF000000"/>
        <rFont val="WenQuanYi Zen Hei"/>
        <family val="2"/>
      </rPr>
      <t xml:space="preserve">・商品企画・在庫管理等の本部機能</t>
    </r>
  </si>
  <si>
    <r>
      <rPr>
        <b val="true"/>
        <sz val="14"/>
        <color rgb="FF000000"/>
        <rFont val="WenQuanYi Zen Hei"/>
        <family val="2"/>
      </rPr>
      <t xml:space="preserve">【月次計画】</t>
    </r>
    <r>
      <rPr>
        <b val="true"/>
        <sz val="14"/>
        <color rgb="FF000000"/>
        <rFont val="Meiryo"/>
        <family val="0"/>
        <charset val="1"/>
      </rPr>
      <t xml:space="preserve">2026</t>
    </r>
    <r>
      <rPr>
        <b val="true"/>
        <sz val="14"/>
        <color rgb="FF000000"/>
        <rFont val="WenQuanYi Zen Hei"/>
        <family val="2"/>
      </rPr>
      <t xml:space="preserve">年</t>
    </r>
    <r>
      <rPr>
        <b val="true"/>
        <sz val="14"/>
        <color rgb="FF000000"/>
        <rFont val="Meiryo"/>
        <family val="0"/>
        <charset val="1"/>
      </rPr>
      <t xml:space="preserve">7</t>
    </r>
    <r>
      <rPr>
        <b val="true"/>
        <sz val="14"/>
        <color rgb="FF000000"/>
        <rFont val="WenQuanYi Zen Hei"/>
        <family val="2"/>
      </rPr>
      <t xml:space="preserve">月〜</t>
    </r>
    <r>
      <rPr>
        <b val="true"/>
        <sz val="14"/>
        <color rgb="FF000000"/>
        <rFont val="Meiryo"/>
        <family val="0"/>
        <charset val="1"/>
      </rPr>
      <t xml:space="preserve">2028</t>
    </r>
    <r>
      <rPr>
        <b val="true"/>
        <sz val="14"/>
        <color rgb="FF000000"/>
        <rFont val="WenQuanYi Zen Hei"/>
        <family val="2"/>
      </rPr>
      <t xml:space="preserve">年</t>
    </r>
    <r>
      <rPr>
        <b val="true"/>
        <sz val="14"/>
        <color rgb="FF000000"/>
        <rFont val="Meiryo"/>
        <family val="0"/>
        <charset val="1"/>
      </rPr>
      <t xml:space="preserve">6</t>
    </r>
    <r>
      <rPr>
        <b val="true"/>
        <sz val="14"/>
        <color rgb="FF000000"/>
        <rFont val="WenQuanYi Zen Hei"/>
        <family val="2"/>
      </rPr>
      <t xml:space="preserve">月（税抜・円）</t>
    </r>
  </si>
  <si>
    <r>
      <rPr>
        <sz val="10"/>
        <color rgb="FF808080"/>
        <rFont val="WenQuanYi Zen Hei"/>
        <family val="2"/>
      </rPr>
      <t xml:space="preserve">売上＝基準月商</t>
    </r>
    <r>
      <rPr>
        <sz val="10"/>
        <color rgb="FF808080"/>
        <rFont val="Meiryo"/>
        <family val="0"/>
        <charset val="1"/>
      </rPr>
      <t xml:space="preserve">×</t>
    </r>
    <r>
      <rPr>
        <sz val="10"/>
        <color rgb="FF808080"/>
        <rFont val="WenQuanYi Zen Hei"/>
        <family val="2"/>
      </rPr>
      <t xml:space="preserve">地域係数</t>
    </r>
    <r>
      <rPr>
        <sz val="10"/>
        <color rgb="FF808080"/>
        <rFont val="Meiryo"/>
        <family val="0"/>
        <charset val="1"/>
      </rPr>
      <t xml:space="preserve">×</t>
    </r>
    <r>
      <rPr>
        <sz val="10"/>
        <color rgb="FF808080"/>
        <rFont val="WenQuanYi Zen Hei"/>
        <family val="2"/>
      </rPr>
      <t xml:space="preserve">ランプ係数</t>
    </r>
    <r>
      <rPr>
        <sz val="10"/>
        <color rgb="FF808080"/>
        <rFont val="Meiryo"/>
        <family val="0"/>
        <charset val="1"/>
      </rPr>
      <t xml:space="preserve">×</t>
    </r>
    <r>
      <rPr>
        <sz val="10"/>
        <color rgb="FF808080"/>
        <rFont val="WenQuanYi Zen Hei"/>
        <family val="2"/>
      </rPr>
      <t xml:space="preserve">季節指数（前提条件シート参照）。東京の</t>
    </r>
    <r>
      <rPr>
        <sz val="10"/>
        <color rgb="FF808080"/>
        <rFont val="Meiryo"/>
        <family val="0"/>
        <charset val="1"/>
      </rPr>
      <t xml:space="preserve">2026</t>
    </r>
    <r>
      <rPr>
        <sz val="10"/>
        <color rgb="FF808080"/>
        <rFont val="WenQuanYi Zen Hei"/>
        <family val="2"/>
      </rPr>
      <t xml:space="preserve">年</t>
    </r>
    <r>
      <rPr>
        <sz val="10"/>
        <color rgb="FF808080"/>
        <rFont val="Meiryo"/>
        <family val="0"/>
        <charset val="1"/>
      </rPr>
      <t xml:space="preserve">7</t>
    </r>
    <r>
      <rPr>
        <sz val="10"/>
        <color rgb="FF808080"/>
        <rFont val="WenQuanYi Zen Hei"/>
        <family val="2"/>
      </rPr>
      <t xml:space="preserve">月のみ実績値。</t>
    </r>
  </si>
  <si>
    <t xml:space="preserve">月インデックス</t>
  </si>
  <si>
    <t xml:space="preserve">年月</t>
  </si>
  <si>
    <t xml:space="preserve">2026/07</t>
  </si>
  <si>
    <t xml:space="preserve">2026/08</t>
  </si>
  <si>
    <t xml:space="preserve">2026/09</t>
  </si>
  <si>
    <t xml:space="preserve">2026/10</t>
  </si>
  <si>
    <t xml:space="preserve">2026/11</t>
  </si>
  <si>
    <t xml:space="preserve">2026/12</t>
  </si>
  <si>
    <t xml:space="preserve">2027/01</t>
  </si>
  <si>
    <t xml:space="preserve">2027/02</t>
  </si>
  <si>
    <t xml:space="preserve">2027/03</t>
  </si>
  <si>
    <t xml:space="preserve">2027/04</t>
  </si>
  <si>
    <t xml:space="preserve">2027/05</t>
  </si>
  <si>
    <t xml:space="preserve">2027/06</t>
  </si>
  <si>
    <t xml:space="preserve">2027/07</t>
  </si>
  <si>
    <t xml:space="preserve">2027/08</t>
  </si>
  <si>
    <t xml:space="preserve">2027/09</t>
  </si>
  <si>
    <t xml:space="preserve">2027/10</t>
  </si>
  <si>
    <t xml:space="preserve">2027/11</t>
  </si>
  <si>
    <t xml:space="preserve">2027/12</t>
  </si>
  <si>
    <t xml:space="preserve">2028/01</t>
  </si>
  <si>
    <t xml:space="preserve">2028/02</t>
  </si>
  <si>
    <t xml:space="preserve">2028/03</t>
  </si>
  <si>
    <t xml:space="preserve">2028/04</t>
  </si>
  <si>
    <t xml:space="preserve">2028/05</t>
  </si>
  <si>
    <t xml:space="preserve">2028/06</t>
  </si>
  <si>
    <r>
      <rPr>
        <b val="true"/>
        <sz val="10"/>
        <color rgb="FF000000"/>
        <rFont val="Meiryo"/>
        <family val="0"/>
        <charset val="1"/>
      </rPr>
      <t xml:space="preserve">1</t>
    </r>
    <r>
      <rPr>
        <b val="true"/>
        <sz val="10"/>
        <color rgb="FF000000"/>
        <rFont val="WenQuanYi Zen Hei"/>
        <family val="2"/>
      </rPr>
      <t xml:space="preserve">年目計
</t>
    </r>
    <r>
      <rPr>
        <b val="true"/>
        <sz val="10"/>
        <color rgb="FF000000"/>
        <rFont val="Meiryo"/>
        <family val="0"/>
        <charset val="1"/>
      </rPr>
      <t xml:space="preserve">(26/7-27/6)</t>
    </r>
  </si>
  <si>
    <r>
      <rPr>
        <b val="true"/>
        <sz val="10"/>
        <color rgb="FF000000"/>
        <rFont val="Meiryo"/>
        <family val="0"/>
        <charset val="1"/>
      </rPr>
      <t xml:space="preserve">2</t>
    </r>
    <r>
      <rPr>
        <b val="true"/>
        <sz val="10"/>
        <color rgb="FF000000"/>
        <rFont val="WenQuanYi Zen Hei"/>
        <family val="2"/>
      </rPr>
      <t xml:space="preserve">年目計
</t>
    </r>
    <r>
      <rPr>
        <b val="true"/>
        <sz val="10"/>
        <color rgb="FF000000"/>
        <rFont val="Meiryo"/>
        <family val="0"/>
        <charset val="1"/>
      </rPr>
      <t xml:space="preserve">(27/7-28/6)</t>
    </r>
  </si>
  <si>
    <t xml:space="preserve">暦月</t>
  </si>
  <si>
    <t xml:space="preserve">■ 東京</t>
  </si>
  <si>
    <r>
      <rPr>
        <sz val="10"/>
        <color rgb="FF808080"/>
        <rFont val="Meiryo"/>
        <family val="0"/>
        <charset val="1"/>
      </rPr>
      <t xml:space="preserve">2026</t>
    </r>
    <r>
      <rPr>
        <sz val="10"/>
        <color rgb="FF808080"/>
        <rFont val="WenQuanYi Zen Hei"/>
        <family val="2"/>
      </rPr>
      <t xml:space="preserve">年</t>
    </r>
    <r>
      <rPr>
        <sz val="10"/>
        <color rgb="FF808080"/>
        <rFont val="Meiryo"/>
        <family val="0"/>
        <charset val="1"/>
      </rPr>
      <t xml:space="preserve">7</t>
    </r>
    <r>
      <rPr>
        <sz val="10"/>
        <color rgb="FF808080"/>
        <rFont val="WenQuanYi Zen Hei"/>
        <family val="2"/>
      </rPr>
      <t xml:space="preserve">月</t>
    </r>
    <r>
      <rPr>
        <sz val="10"/>
        <color rgb="FF808080"/>
        <rFont val="Meiryo"/>
        <family val="0"/>
        <charset val="1"/>
      </rPr>
      <t xml:space="preserve">10</t>
    </r>
    <r>
      <rPr>
        <sz val="10"/>
        <color rgb="FF808080"/>
        <rFont val="WenQuanYi Zen Hei"/>
        <family val="2"/>
      </rPr>
      <t xml:space="preserve">日 開業済。</t>
    </r>
    <r>
      <rPr>
        <sz val="10"/>
        <color rgb="FF808080"/>
        <rFont val="Meiryo"/>
        <family val="0"/>
        <charset val="1"/>
      </rPr>
      <t xml:space="preserve">26/7</t>
    </r>
    <r>
      <rPr>
        <sz val="10"/>
        <color rgb="FF808080"/>
        <rFont val="WenQuanYi Zen Hei"/>
        <family val="2"/>
      </rPr>
      <t xml:space="preserve">列は実績値（青字）</t>
    </r>
  </si>
  <si>
    <t xml:space="preserve">■ 大阪</t>
  </si>
  <si>
    <t xml:space="preserve">開業月は前提条件シートで変更可</t>
  </si>
  <si>
    <t xml:space="preserve">■ 福岡</t>
  </si>
  <si>
    <t xml:space="preserve">■ 連結</t>
  </si>
  <si>
    <t xml:space="preserve">売上高合計</t>
  </si>
  <si>
    <t xml:space="preserve">連結営業利益率</t>
  </si>
  <si>
    <t xml:space="preserve">連結累計営業利益</t>
  </si>
  <si>
    <r>
      <rPr>
        <b val="true"/>
        <sz val="14"/>
        <color rgb="FF000000"/>
        <rFont val="WenQuanYi Zen Hei"/>
        <family val="2"/>
      </rPr>
      <t xml:space="preserve">【東京</t>
    </r>
    <r>
      <rPr>
        <b val="true"/>
        <sz val="14"/>
        <color rgb="FF000000"/>
        <rFont val="Meiryo"/>
        <family val="0"/>
        <charset val="1"/>
      </rPr>
      <t xml:space="preserve">1</t>
    </r>
    <r>
      <rPr>
        <b val="true"/>
        <sz val="14"/>
        <color rgb="FF000000"/>
        <rFont val="WenQuanYi Zen Hei"/>
        <family val="2"/>
      </rPr>
      <t xml:space="preserve">号店 実績分析】</t>
    </r>
    <r>
      <rPr>
        <b val="true"/>
        <sz val="14"/>
        <color rgb="FF000000"/>
        <rFont val="Meiryo"/>
        <family val="0"/>
        <charset val="1"/>
      </rPr>
      <t xml:space="preserve">2026</t>
    </r>
    <r>
      <rPr>
        <b val="true"/>
        <sz val="14"/>
        <color rgb="FF000000"/>
        <rFont val="WenQuanYi Zen Hei"/>
        <family val="2"/>
      </rPr>
      <t xml:space="preserve">年</t>
    </r>
    <r>
      <rPr>
        <b val="true"/>
        <sz val="14"/>
        <color rgb="FF000000"/>
        <rFont val="Meiryo"/>
        <family val="0"/>
        <charset val="1"/>
      </rPr>
      <t xml:space="preserve">7</t>
    </r>
    <r>
      <rPr>
        <b val="true"/>
        <sz val="14"/>
        <color rgb="FF000000"/>
        <rFont val="WenQuanYi Zen Hei"/>
        <family val="2"/>
      </rPr>
      <t xml:space="preserve">月</t>
    </r>
    <r>
      <rPr>
        <b val="true"/>
        <sz val="14"/>
        <color rgb="FF000000"/>
        <rFont val="Meiryo"/>
        <family val="0"/>
        <charset val="1"/>
      </rPr>
      <t xml:space="preserve">8</t>
    </r>
    <r>
      <rPr>
        <b val="true"/>
        <sz val="14"/>
        <color rgb="FF000000"/>
        <rFont val="WenQuanYi Zen Hei"/>
        <family val="2"/>
      </rPr>
      <t xml:space="preserve">日〜</t>
    </r>
    <r>
      <rPr>
        <b val="true"/>
        <sz val="14"/>
        <color rgb="FF000000"/>
        <rFont val="Meiryo"/>
        <family val="0"/>
        <charset val="1"/>
      </rPr>
      <t xml:space="preserve">8</t>
    </r>
    <r>
      <rPr>
        <b val="true"/>
        <sz val="14"/>
        <color rgb="FF000000"/>
        <rFont val="WenQuanYi Zen Hei"/>
        <family val="2"/>
      </rPr>
      <t xml:space="preserve">月</t>
    </r>
    <r>
      <rPr>
        <b val="true"/>
        <sz val="14"/>
        <color rgb="FF000000"/>
        <rFont val="Meiryo"/>
        <family val="0"/>
        <charset val="1"/>
      </rPr>
      <t xml:space="preserve">2</t>
    </r>
    <r>
      <rPr>
        <b val="true"/>
        <sz val="14"/>
        <color rgb="FF000000"/>
        <rFont val="WenQuanYi Zen Hei"/>
        <family val="2"/>
      </rPr>
      <t xml:space="preserve">日（税抜）</t>
    </r>
  </si>
  <si>
    <r>
      <rPr>
        <sz val="10"/>
        <color rgb="FF808080"/>
        <rFont val="WenQuanYi Zen Hei"/>
        <family val="2"/>
      </rPr>
      <t xml:space="preserve">出典</t>
    </r>
    <r>
      <rPr>
        <sz val="10"/>
        <color rgb="FF808080"/>
        <rFont val="Meiryo"/>
        <family val="0"/>
        <charset val="1"/>
      </rPr>
      <t xml:space="preserve">: ULTRA_MART</t>
    </r>
    <r>
      <rPr>
        <sz val="10"/>
        <color rgb="FF808080"/>
        <rFont val="WenQuanYi Zen Hei"/>
        <family val="2"/>
      </rPr>
      <t xml:space="preserve">管理表（</t>
    </r>
    <r>
      <rPr>
        <sz val="10"/>
        <color rgb="FF808080"/>
        <rFont val="Meiryo"/>
        <family val="0"/>
        <charset val="1"/>
      </rPr>
      <t xml:space="preserve">7</t>
    </r>
    <r>
      <rPr>
        <sz val="10"/>
        <color rgb="FF808080"/>
        <rFont val="WenQuanYi Zen Hei"/>
        <family val="2"/>
      </rPr>
      <t xml:space="preserve">月・</t>
    </r>
    <r>
      <rPr>
        <sz val="10"/>
        <color rgb="FF808080"/>
        <rFont val="Meiryo"/>
        <family val="0"/>
        <charset val="1"/>
      </rPr>
      <t xml:space="preserve">8</t>
    </r>
    <r>
      <rPr>
        <sz val="10"/>
        <color rgb="FF808080"/>
        <rFont val="WenQuanYi Zen Hei"/>
        <family val="2"/>
      </rPr>
      <t xml:space="preserve">月シート）。</t>
    </r>
    <r>
      <rPr>
        <sz val="10"/>
        <color rgb="FF808080"/>
        <rFont val="Meiryo"/>
        <family val="0"/>
        <charset val="1"/>
      </rPr>
      <t xml:space="preserve">7/8-9</t>
    </r>
    <r>
      <rPr>
        <sz val="10"/>
        <color rgb="FF808080"/>
        <rFont val="WenQuanYi Zen Hei"/>
        <family val="2"/>
      </rPr>
      <t xml:space="preserve">はプレ営業。客単価・買上率は本シートで再計算。</t>
    </r>
  </si>
  <si>
    <t xml:space="preserve">日付</t>
  </si>
  <si>
    <t xml:space="preserve">曜日</t>
  </si>
  <si>
    <t xml:space="preserve">天気</t>
  </si>
  <si>
    <t xml:space="preserve">キャラクター</t>
  </si>
  <si>
    <r>
      <rPr>
        <b val="true"/>
        <sz val="10"/>
        <color rgb="FF000000"/>
        <rFont val="WenQuanYi Zen Hei"/>
        <family val="2"/>
      </rPr>
      <t xml:space="preserve">売上</t>
    </r>
    <r>
      <rPr>
        <b val="true"/>
        <sz val="10"/>
        <color rgb="FF000000"/>
        <rFont val="Meiryo"/>
        <family val="0"/>
        <charset val="1"/>
      </rPr>
      <t xml:space="preserve">(</t>
    </r>
    <r>
      <rPr>
        <b val="true"/>
        <sz val="10"/>
        <color rgb="FF000000"/>
        <rFont val="WenQuanYi Zen Hei"/>
        <family val="2"/>
      </rPr>
      <t xml:space="preserve">税抜</t>
    </r>
    <r>
      <rPr>
        <b val="true"/>
        <sz val="10"/>
        <color rgb="FF000000"/>
        <rFont val="Meiryo"/>
        <family val="0"/>
        <charset val="1"/>
      </rPr>
      <t xml:space="preserve">)</t>
    </r>
  </si>
  <si>
    <t xml:space="preserve">レジ客数</t>
  </si>
  <si>
    <r>
      <rPr>
        <b val="true"/>
        <sz val="10"/>
        <color rgb="FF000000"/>
        <rFont val="WenQuanYi Zen Hei"/>
        <family val="2"/>
      </rPr>
      <t xml:space="preserve">客単価</t>
    </r>
    <r>
      <rPr>
        <b val="true"/>
        <sz val="10"/>
        <color rgb="FF000000"/>
        <rFont val="Meiryo"/>
        <family val="0"/>
        <charset val="1"/>
      </rPr>
      <t xml:space="preserve">(</t>
    </r>
    <r>
      <rPr>
        <b val="true"/>
        <sz val="10"/>
        <color rgb="FF000000"/>
        <rFont val="WenQuanYi Zen Hei"/>
        <family val="2"/>
      </rPr>
      <t xml:space="preserve">税抜</t>
    </r>
    <r>
      <rPr>
        <b val="true"/>
        <sz val="10"/>
        <color rgb="FF000000"/>
        <rFont val="Meiryo"/>
        <family val="0"/>
        <charset val="1"/>
      </rPr>
      <t xml:space="preserve">)</t>
    </r>
  </si>
  <si>
    <t xml:space="preserve">2026-07-08</t>
  </si>
  <si>
    <t xml:space="preserve">水</t>
  </si>
  <si>
    <t xml:space="preserve">2026-07-09</t>
  </si>
  <si>
    <t xml:space="preserve">木</t>
  </si>
  <si>
    <t xml:space="preserve">2026-07-10</t>
  </si>
  <si>
    <t xml:space="preserve">金</t>
  </si>
  <si>
    <t xml:space="preserve">晴</t>
  </si>
  <si>
    <r>
      <rPr>
        <sz val="10"/>
        <color rgb="FF000000"/>
        <rFont val="WenQuanYi Zen Hei"/>
        <family val="2"/>
      </rPr>
      <t xml:space="preserve">マン</t>
    </r>
    <r>
      <rPr>
        <sz val="10"/>
        <color rgb="FF000000"/>
        <rFont val="Meiryo"/>
        <family val="0"/>
        <charset val="1"/>
      </rPr>
      <t xml:space="preserve">/</t>
    </r>
    <r>
      <rPr>
        <sz val="10"/>
        <color rgb="FF000000"/>
        <rFont val="WenQuanYi Zen Hei"/>
        <family val="2"/>
      </rPr>
      <t xml:space="preserve">バルタン</t>
    </r>
  </si>
  <si>
    <t xml:space="preserve">2026-07-11</t>
  </si>
  <si>
    <t xml:space="preserve">土</t>
  </si>
  <si>
    <t xml:space="preserve">2026-07-12</t>
  </si>
  <si>
    <t xml:space="preserve">日</t>
  </si>
  <si>
    <t xml:space="preserve">曇</t>
  </si>
  <si>
    <r>
      <rPr>
        <sz val="10"/>
        <color rgb="FF000000"/>
        <rFont val="WenQuanYi Zen Hei"/>
        <family val="2"/>
      </rPr>
      <t xml:space="preserve">ティガ</t>
    </r>
    <r>
      <rPr>
        <sz val="10"/>
        <color rgb="FF000000"/>
        <rFont val="Meiryo"/>
        <family val="0"/>
        <charset val="1"/>
      </rPr>
      <t xml:space="preserve">/</t>
    </r>
    <r>
      <rPr>
        <sz val="10"/>
        <color rgb="FF000000"/>
        <rFont val="WenQuanYi Zen Hei"/>
        <family val="2"/>
      </rPr>
      <t xml:space="preserve">ピグモン</t>
    </r>
  </si>
  <si>
    <t xml:space="preserve">2026-07-13</t>
  </si>
  <si>
    <t xml:space="preserve">月</t>
  </si>
  <si>
    <t xml:space="preserve">ピグモン</t>
  </si>
  <si>
    <t xml:space="preserve">2026-07-14</t>
  </si>
  <si>
    <t xml:space="preserve">火</t>
  </si>
  <si>
    <t xml:space="preserve">バルタン</t>
  </si>
  <si>
    <t xml:space="preserve">2026-07-15</t>
  </si>
  <si>
    <t xml:space="preserve">2026-07-16</t>
  </si>
  <si>
    <t xml:space="preserve">2026-07-17</t>
  </si>
  <si>
    <t xml:space="preserve">雨</t>
  </si>
  <si>
    <t xml:space="preserve">2026-07-18</t>
  </si>
  <si>
    <t xml:space="preserve">2026-07-19</t>
  </si>
  <si>
    <t xml:space="preserve">2026-07-20</t>
  </si>
  <si>
    <t xml:space="preserve">2026-07-21</t>
  </si>
  <si>
    <t xml:space="preserve">ブースカ</t>
  </si>
  <si>
    <t xml:space="preserve">2026-07-22</t>
  </si>
  <si>
    <t xml:space="preserve">2026-07-23</t>
  </si>
  <si>
    <t xml:space="preserve">2026-07-24</t>
  </si>
  <si>
    <t xml:space="preserve">2026-07-25</t>
  </si>
  <si>
    <t xml:space="preserve">2026-07-26</t>
  </si>
  <si>
    <t xml:space="preserve">2026-07-27</t>
  </si>
  <si>
    <t xml:space="preserve">ピグちゃん</t>
  </si>
  <si>
    <t xml:space="preserve">2026-07-28</t>
  </si>
  <si>
    <t xml:space="preserve">ダダちゃん</t>
  </si>
  <si>
    <t xml:space="preserve">2026-07-29</t>
  </si>
  <si>
    <t xml:space="preserve">カネちゃん</t>
  </si>
  <si>
    <t xml:space="preserve">2026-07-30</t>
  </si>
  <si>
    <t xml:space="preserve">2026-07-31</t>
  </si>
  <si>
    <t xml:space="preserve">2026-08-01</t>
  </si>
  <si>
    <t xml:space="preserve">2026-08-02</t>
  </si>
  <si>
    <r>
      <rPr>
        <b val="true"/>
        <sz val="10"/>
        <color rgb="FF000000"/>
        <rFont val="WenQuanYi Zen Hei"/>
        <family val="2"/>
      </rPr>
      <t xml:space="preserve">■ グランドオープン期間 </t>
    </r>
    <r>
      <rPr>
        <b val="true"/>
        <sz val="10"/>
        <color rgb="FF000000"/>
        <rFont val="Meiryo"/>
        <family val="0"/>
        <charset val="1"/>
      </rPr>
      <t xml:space="preserve">KPI</t>
    </r>
    <r>
      <rPr>
        <b val="true"/>
        <sz val="10"/>
        <color rgb="FF000000"/>
        <rFont val="WenQuanYi Zen Hei"/>
        <family val="2"/>
      </rPr>
      <t xml:space="preserve">（</t>
    </r>
    <r>
      <rPr>
        <b val="true"/>
        <sz val="10"/>
        <color rgb="FF000000"/>
        <rFont val="Meiryo"/>
        <family val="0"/>
        <charset val="1"/>
      </rPr>
      <t xml:space="preserve">7/10</t>
    </r>
    <r>
      <rPr>
        <b val="true"/>
        <sz val="10"/>
        <color rgb="FF000000"/>
        <rFont val="WenQuanYi Zen Hei"/>
        <family val="2"/>
      </rPr>
      <t xml:space="preserve">〜</t>
    </r>
    <r>
      <rPr>
        <b val="true"/>
        <sz val="10"/>
        <color rgb="FF000000"/>
        <rFont val="Meiryo"/>
        <family val="0"/>
        <charset val="1"/>
      </rPr>
      <t xml:space="preserve">7/31</t>
    </r>
    <r>
      <rPr>
        <b val="true"/>
        <sz val="10"/>
        <color rgb="FF000000"/>
        <rFont val="WenQuanYi Zen Hei"/>
        <family val="2"/>
      </rPr>
      <t xml:space="preserve">・</t>
    </r>
    <r>
      <rPr>
        <b val="true"/>
        <sz val="10"/>
        <color rgb="FF000000"/>
        <rFont val="Meiryo"/>
        <family val="0"/>
        <charset val="1"/>
      </rPr>
      <t xml:space="preserve">22</t>
    </r>
    <r>
      <rPr>
        <b val="true"/>
        <sz val="10"/>
        <color rgb="FF000000"/>
        <rFont val="WenQuanYi Zen Hei"/>
        <family val="2"/>
      </rPr>
      <t xml:space="preserve">日間）</t>
    </r>
  </si>
  <si>
    <r>
      <rPr>
        <sz val="10"/>
        <color rgb="FF000000"/>
        <rFont val="WenQuanYi Zen Hei"/>
        <family val="2"/>
      </rPr>
      <t xml:space="preserve">買上率（レジ客数</t>
    </r>
    <r>
      <rPr>
        <sz val="10"/>
        <color rgb="FF000000"/>
        <rFont val="Meiryo"/>
        <family val="0"/>
        <charset val="1"/>
      </rPr>
      <t xml:space="preserve">÷</t>
    </r>
    <r>
      <rPr>
        <sz val="10"/>
        <color rgb="FF000000"/>
        <rFont val="WenQuanYi Zen Hei"/>
        <family val="2"/>
      </rPr>
      <t xml:space="preserve">来店者数）</t>
    </r>
  </si>
  <si>
    <t xml:space="preserve">■ 週次推移（オープン景気の減衰）</t>
  </si>
  <si>
    <t xml:space="preserve">期間</t>
  </si>
  <si>
    <t xml:space="preserve">売上計</t>
  </si>
  <si>
    <t xml:space="preserve">初週比</t>
  </si>
  <si>
    <r>
      <rPr>
        <sz val="10"/>
        <color rgb="FF000000"/>
        <rFont val="WenQuanYi Zen Hei"/>
        <family val="2"/>
      </rPr>
      <t xml:space="preserve">オープン</t>
    </r>
    <r>
      <rPr>
        <sz val="10"/>
        <color rgb="FF000000"/>
        <rFont val="Meiryo"/>
        <family val="0"/>
        <charset val="1"/>
      </rPr>
      <t xml:space="preserve">3</t>
    </r>
    <r>
      <rPr>
        <sz val="10"/>
        <color rgb="FF000000"/>
        <rFont val="WenQuanYi Zen Hei"/>
        <family val="2"/>
      </rPr>
      <t xml:space="preserve">日間 </t>
    </r>
    <r>
      <rPr>
        <sz val="10"/>
        <color rgb="FF000000"/>
        <rFont val="Meiryo"/>
        <family val="0"/>
        <charset val="1"/>
      </rPr>
      <t xml:space="preserve">(7/10-12)</t>
    </r>
  </si>
  <si>
    <r>
      <rPr>
        <sz val="10"/>
        <color rgb="FF000000"/>
        <rFont val="WenQuanYi Zen Hei"/>
        <family val="2"/>
      </rPr>
      <t xml:space="preserve">第</t>
    </r>
    <r>
      <rPr>
        <sz val="10"/>
        <color rgb="FF000000"/>
        <rFont val="Meiryo"/>
        <family val="0"/>
        <charset val="1"/>
      </rPr>
      <t xml:space="preserve">2</t>
    </r>
    <r>
      <rPr>
        <sz val="10"/>
        <color rgb="FF000000"/>
        <rFont val="WenQuanYi Zen Hei"/>
        <family val="2"/>
      </rPr>
      <t xml:space="preserve">週 </t>
    </r>
    <r>
      <rPr>
        <sz val="10"/>
        <color rgb="FF000000"/>
        <rFont val="Meiryo"/>
        <family val="0"/>
        <charset val="1"/>
      </rPr>
      <t xml:space="preserve">(7/13-19)</t>
    </r>
  </si>
  <si>
    <r>
      <rPr>
        <sz val="10"/>
        <color rgb="FF000000"/>
        <rFont val="WenQuanYi Zen Hei"/>
        <family val="2"/>
      </rPr>
      <t xml:space="preserve">第</t>
    </r>
    <r>
      <rPr>
        <sz val="10"/>
        <color rgb="FF000000"/>
        <rFont val="Meiryo"/>
        <family val="0"/>
        <charset val="1"/>
      </rPr>
      <t xml:space="preserve">3</t>
    </r>
    <r>
      <rPr>
        <sz val="10"/>
        <color rgb="FF000000"/>
        <rFont val="WenQuanYi Zen Hei"/>
        <family val="2"/>
      </rPr>
      <t xml:space="preserve">週 </t>
    </r>
    <r>
      <rPr>
        <sz val="10"/>
        <color rgb="FF000000"/>
        <rFont val="Meiryo"/>
        <family val="0"/>
        <charset val="1"/>
      </rPr>
      <t xml:space="preserve">(7/20-26)</t>
    </r>
  </si>
  <si>
    <r>
      <rPr>
        <sz val="10"/>
        <color rgb="FF000000"/>
        <rFont val="WenQuanYi Zen Hei"/>
        <family val="2"/>
      </rPr>
      <t xml:space="preserve">第</t>
    </r>
    <r>
      <rPr>
        <sz val="10"/>
        <color rgb="FF000000"/>
        <rFont val="Meiryo"/>
        <family val="0"/>
        <charset val="1"/>
      </rPr>
      <t xml:space="preserve">4</t>
    </r>
    <r>
      <rPr>
        <sz val="10"/>
        <color rgb="FF000000"/>
        <rFont val="WenQuanYi Zen Hei"/>
        <family val="2"/>
      </rPr>
      <t xml:space="preserve">週 </t>
    </r>
    <r>
      <rPr>
        <sz val="10"/>
        <color rgb="FF000000"/>
        <rFont val="Meiryo"/>
        <family val="0"/>
        <charset val="1"/>
      </rPr>
      <t xml:space="preserve">(7/27-31)</t>
    </r>
  </si>
  <si>
    <r>
      <rPr>
        <sz val="10"/>
        <color rgb="FF000000"/>
        <rFont val="Meiryo"/>
        <family val="0"/>
        <charset val="1"/>
      </rPr>
      <t xml:space="preserve">8</t>
    </r>
    <r>
      <rPr>
        <sz val="10"/>
        <color rgb="FF000000"/>
        <rFont val="WenQuanYi Zen Hei"/>
        <family val="2"/>
      </rPr>
      <t xml:space="preserve">月第</t>
    </r>
    <r>
      <rPr>
        <sz val="10"/>
        <color rgb="FF000000"/>
        <rFont val="Meiryo"/>
        <family val="0"/>
        <charset val="1"/>
      </rPr>
      <t xml:space="preserve">1</t>
    </r>
    <r>
      <rPr>
        <sz val="10"/>
        <color rgb="FF000000"/>
        <rFont val="WenQuanYi Zen Hei"/>
        <family val="2"/>
      </rPr>
      <t xml:space="preserve">週末 </t>
    </r>
    <r>
      <rPr>
        <sz val="10"/>
        <color rgb="FF000000"/>
        <rFont val="Meiryo"/>
        <family val="0"/>
        <charset val="1"/>
      </rPr>
      <t xml:space="preserve">(8/1-2)</t>
    </r>
  </si>
  <si>
    <r>
      <rPr>
        <b val="true"/>
        <sz val="10"/>
        <color rgb="FF000000"/>
        <rFont val="WenQuanYi Zen Hei"/>
        <family val="2"/>
      </rPr>
      <t xml:space="preserve">■ 平日／土日別 日販（</t>
    </r>
    <r>
      <rPr>
        <b val="true"/>
        <sz val="10"/>
        <color rgb="FF000000"/>
        <rFont val="Meiryo"/>
        <family val="0"/>
        <charset val="1"/>
      </rPr>
      <t xml:space="preserve">7/13</t>
    </r>
    <r>
      <rPr>
        <b val="true"/>
        <sz val="10"/>
        <color rgb="FF000000"/>
        <rFont val="WenQuanYi Zen Hei"/>
        <family val="2"/>
      </rPr>
      <t xml:space="preserve">〜</t>
    </r>
    <r>
      <rPr>
        <b val="true"/>
        <sz val="10"/>
        <color rgb="FF000000"/>
        <rFont val="Meiryo"/>
        <family val="0"/>
        <charset val="1"/>
      </rPr>
      <t xml:space="preserve">8/2</t>
    </r>
    <r>
      <rPr>
        <b val="true"/>
        <sz val="10"/>
        <color rgb="FF000000"/>
        <rFont val="WenQuanYi Zen Hei"/>
        <family val="2"/>
      </rPr>
      <t xml:space="preserve">・オープン</t>
    </r>
    <r>
      <rPr>
        <b val="true"/>
        <sz val="10"/>
        <color rgb="FF000000"/>
        <rFont val="Meiryo"/>
        <family val="0"/>
        <charset val="1"/>
      </rPr>
      <t xml:space="preserve">3</t>
    </r>
    <r>
      <rPr>
        <b val="true"/>
        <sz val="10"/>
        <color rgb="FF000000"/>
        <rFont val="WenQuanYi Zen Hei"/>
        <family val="2"/>
      </rPr>
      <t xml:space="preserve">日間を除く）</t>
    </r>
  </si>
  <si>
    <t xml:space="preserve">土日 日販平均</t>
  </si>
  <si>
    <t xml:space="preserve">平日 日販平均</t>
  </si>
  <si>
    <r>
      <rPr>
        <sz val="10"/>
        <color rgb="FF808080"/>
        <rFont val="WenQuanYi Zen Hei"/>
        <family val="2"/>
      </rPr>
      <t xml:space="preserve">（参考）売れ筋</t>
    </r>
    <r>
      <rPr>
        <sz val="10"/>
        <color rgb="FF808080"/>
        <rFont val="Meiryo"/>
        <family val="0"/>
        <charset val="1"/>
      </rPr>
      <t xml:space="preserve">: mofusand×</t>
    </r>
    <r>
      <rPr>
        <sz val="10"/>
        <color rgb="FF808080"/>
        <rFont val="WenQuanYi Zen Hei"/>
        <family val="2"/>
      </rPr>
      <t xml:space="preserve">ウルトラマン コラボ</t>
    </r>
    <r>
      <rPr>
        <sz val="10"/>
        <color rgb="FF808080"/>
        <rFont val="Meiryo"/>
        <family val="0"/>
        <charset val="1"/>
      </rPr>
      <t xml:space="preserve">3</t>
    </r>
    <r>
      <rPr>
        <sz val="10"/>
        <color rgb="FF808080"/>
        <rFont val="WenQuanYi Zen Hei"/>
        <family val="2"/>
      </rPr>
      <t xml:space="preserve">商品で約</t>
    </r>
    <r>
      <rPr>
        <sz val="10"/>
        <color rgb="FF808080"/>
        <rFont val="Meiryo"/>
        <family val="0"/>
        <charset val="1"/>
      </rPr>
      <t xml:space="preserve">324</t>
    </r>
    <r>
      <rPr>
        <sz val="10"/>
        <color rgb="FF808080"/>
        <rFont val="WenQuanYi Zen Hei"/>
        <family val="2"/>
      </rPr>
      <t xml:space="preserve">万円（金額降順シートより）</t>
    </r>
  </si>
</sst>
</file>

<file path=xl/styles.xml><?xml version="1.0" encoding="utf-8"?>
<styleSheet xmlns="http://schemas.openxmlformats.org/spreadsheetml/2006/main">
  <numFmts count="6">
    <numFmt numFmtId="164" formatCode="General"/>
    <numFmt numFmtId="165" formatCode="#,##0;\(#,##0\);\-"/>
    <numFmt numFmtId="166" formatCode="0.0%"/>
    <numFmt numFmtId="167" formatCode="0&quot;ヶ月&quot;"/>
    <numFmt numFmtId="168" formatCode="0.00"/>
    <numFmt numFmtId="169" formatCode="0"/>
  </numFmts>
  <fonts count="22">
    <font>
      <sz val="11"/>
      <color theme="1"/>
      <name val="Calibri"/>
      <family val="2"/>
      <charset val="1"/>
    </font>
    <font>
      <sz val="10"/>
      <name val="Arial"/>
      <family val="0"/>
    </font>
    <font>
      <sz val="10"/>
      <name val="Arial"/>
      <family val="0"/>
    </font>
    <font>
      <sz val="10"/>
      <name val="Arial"/>
      <family val="0"/>
    </font>
    <font>
      <b val="true"/>
      <sz val="16"/>
      <color rgb="FF000000"/>
      <name val="Meiryo"/>
      <family val="0"/>
      <charset val="1"/>
    </font>
    <font>
      <b val="true"/>
      <sz val="16"/>
      <color rgb="FF000000"/>
      <name val="WenQuanYi Zen Hei"/>
      <family val="2"/>
    </font>
    <font>
      <sz val="10"/>
      <color rgb="FF808080"/>
      <name val="WenQuanYi Zen Hei"/>
      <family val="2"/>
    </font>
    <font>
      <sz val="10"/>
      <color rgb="FF808080"/>
      <name val="Meiryo"/>
      <family val="0"/>
      <charset val="1"/>
    </font>
    <font>
      <b val="true"/>
      <sz val="10"/>
      <color rgb="FF000000"/>
      <name val="WenQuanYi Zen Hei"/>
      <family val="2"/>
    </font>
    <font>
      <b val="true"/>
      <sz val="10"/>
      <color rgb="FF000000"/>
      <name val="Meiryo"/>
      <family val="0"/>
      <charset val="1"/>
    </font>
    <font>
      <sz val="10"/>
      <color rgb="FF000000"/>
      <name val="WenQuanYi Zen Hei"/>
      <family val="2"/>
    </font>
    <font>
      <b val="true"/>
      <sz val="10"/>
      <color rgb="FF008000"/>
      <name val="Meiryo"/>
      <family val="0"/>
      <charset val="1"/>
    </font>
    <font>
      <sz val="10"/>
      <color rgb="FF000000"/>
      <name val="Meiryo"/>
      <family val="0"/>
      <charset val="1"/>
    </font>
    <font>
      <sz val="10"/>
      <color rgb="FF008000"/>
      <name val="Meiryo"/>
      <family val="0"/>
      <charset val="1"/>
    </font>
    <font>
      <b val="true"/>
      <sz val="14"/>
      <color rgb="FF000000"/>
      <name val="WenQuanYi Zen Hei"/>
      <family val="2"/>
    </font>
    <font>
      <b val="true"/>
      <sz val="14"/>
      <color rgb="FF000000"/>
      <name val="Meiryo"/>
      <family val="0"/>
      <charset val="1"/>
    </font>
    <font>
      <sz val="10"/>
      <color rgb="FF0000FF"/>
      <name val="Meiryo"/>
      <family val="0"/>
      <charset val="1"/>
    </font>
    <font>
      <sz val="10"/>
      <name val="WenQuanYi Zen Hei"/>
      <family val="2"/>
    </font>
    <font>
      <sz val="10"/>
      <name val="Arial"/>
      <family val="2"/>
    </font>
    <font>
      <b val="true"/>
      <sz val="18"/>
      <color rgb="FF000000"/>
      <name val="WenQuanYi Zen He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D9D9D9"/>
        <bgColor rgb="FFDDEBF7"/>
      </patternFill>
    </fill>
    <fill>
      <patternFill patternType="solid">
        <fgColor rgb="FFFFFF00"/>
        <bgColor rgb="FFFFFF00"/>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6" fillId="3" borderId="0" xfId="0" applyFont="true" applyBorder="false" applyAlignment="false" applyProtection="false">
      <alignment horizontal="general" vertical="bottom" textRotation="0" wrapText="false" indent="0" shrinkToFit="false"/>
      <protection locked="true" hidden="false"/>
    </xf>
    <xf numFmtId="168" fontId="16" fillId="3" borderId="0" xfId="0" applyFont="true" applyBorder="false" applyAlignment="false" applyProtection="false">
      <alignment horizontal="general" vertical="bottom" textRotation="0" wrapText="false" indent="0" shrinkToFit="false"/>
      <protection locked="true" hidden="false"/>
    </xf>
    <xf numFmtId="169" fontId="16" fillId="3" borderId="0" xfId="0" applyFont="true" applyBorder="false" applyAlignment="false" applyProtection="false">
      <alignment horizontal="general" vertical="bottom" textRotation="0" wrapText="false" indent="0" shrinkToFit="false"/>
      <protection locked="true" hidden="false"/>
    </xf>
    <xf numFmtId="166" fontId="16" fillId="3" borderId="0" xfId="0" applyFont="true" applyBorder="false" applyAlignment="false" applyProtection="false">
      <alignment horizontal="general" vertical="bottom" textRotation="0" wrapText="false" indent="0" shrinkToFit="false"/>
      <protection locked="true" hidden="false"/>
    </xf>
    <xf numFmtId="169" fontId="9" fillId="4" borderId="0" xfId="0" applyFont="true" applyBorder="false" applyAlignment="true" applyProtection="false">
      <alignment horizontal="center" vertical="bottom" textRotation="0" wrapText="false" indent="0" shrinkToFit="false"/>
      <protection locked="true" hidden="false"/>
    </xf>
    <xf numFmtId="164" fontId="9" fillId="4"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true" indent="0" shrinkToFit="false"/>
      <protection locked="true" hidden="false"/>
    </xf>
    <xf numFmtId="169" fontId="12"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A7EBB"/>
      <rgbColor rgb="FF87878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日次売上推移（税抜）</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東京実績分析!$A$7:$A$30</c:f>
              <c:strCache>
                <c:ptCount val="24"/>
                <c:pt idx="0">
                  <c:v>2026-07-10</c:v>
                </c:pt>
                <c:pt idx="1">
                  <c:v>2026-07-11</c:v>
                </c:pt>
                <c:pt idx="2">
                  <c:v>2026-07-12</c:v>
                </c:pt>
                <c:pt idx="3">
                  <c:v>2026-07-13</c:v>
                </c:pt>
                <c:pt idx="4">
                  <c:v>2026-07-14</c:v>
                </c:pt>
                <c:pt idx="5">
                  <c:v>2026-07-15</c:v>
                </c:pt>
                <c:pt idx="6">
                  <c:v>2026-07-16</c:v>
                </c:pt>
                <c:pt idx="7">
                  <c:v>2026-07-17</c:v>
                </c:pt>
                <c:pt idx="8">
                  <c:v>2026-07-18</c:v>
                </c:pt>
                <c:pt idx="9">
                  <c:v>2026-07-19</c:v>
                </c:pt>
                <c:pt idx="10">
                  <c:v>2026-07-20</c:v>
                </c:pt>
                <c:pt idx="11">
                  <c:v>2026-07-21</c:v>
                </c:pt>
                <c:pt idx="12">
                  <c:v>2026-07-22</c:v>
                </c:pt>
                <c:pt idx="13">
                  <c:v>2026-07-23</c:v>
                </c:pt>
                <c:pt idx="14">
                  <c:v>2026-07-24</c:v>
                </c:pt>
                <c:pt idx="15">
                  <c:v>2026-07-25</c:v>
                </c:pt>
                <c:pt idx="16">
                  <c:v>2026-07-26</c:v>
                </c:pt>
                <c:pt idx="17">
                  <c:v>2026-07-27</c:v>
                </c:pt>
                <c:pt idx="18">
                  <c:v>2026-07-28</c:v>
                </c:pt>
                <c:pt idx="19">
                  <c:v>2026-07-29</c:v>
                </c:pt>
                <c:pt idx="20">
                  <c:v>2026-07-30</c:v>
                </c:pt>
                <c:pt idx="21">
                  <c:v>2026-07-31</c:v>
                </c:pt>
                <c:pt idx="22">
                  <c:v>2026-08-01</c:v>
                </c:pt>
                <c:pt idx="23">
                  <c:v>2026-08-02</c:v>
                </c:pt>
              </c:strCache>
            </c:strRef>
          </c:cat>
          <c:val>
            <c:numRef>
              <c:f>東京実績分析!$E$7:$E$30</c:f>
              <c:numCache>
                <c:formatCode>#,##0;\(#,##0\);\-</c:formatCode>
                <c:ptCount val="24"/>
                <c:pt idx="0">
                  <c:v>1813200</c:v>
                </c:pt>
                <c:pt idx="1">
                  <c:v>1661212</c:v>
                </c:pt>
                <c:pt idx="2">
                  <c:v>755264</c:v>
                </c:pt>
                <c:pt idx="3">
                  <c:v>700926</c:v>
                </c:pt>
                <c:pt idx="4">
                  <c:v>845294</c:v>
                </c:pt>
                <c:pt idx="5">
                  <c:v>749834</c:v>
                </c:pt>
                <c:pt idx="6">
                  <c:v>815396</c:v>
                </c:pt>
                <c:pt idx="7">
                  <c:v>642481</c:v>
                </c:pt>
                <c:pt idx="8">
                  <c:v>1203332</c:v>
                </c:pt>
                <c:pt idx="9">
                  <c:v>1037109</c:v>
                </c:pt>
                <c:pt idx="10">
                  <c:v>704815</c:v>
                </c:pt>
                <c:pt idx="11">
                  <c:v>624205</c:v>
                </c:pt>
                <c:pt idx="12">
                  <c:v>628431</c:v>
                </c:pt>
                <c:pt idx="13">
                  <c:v>587496</c:v>
                </c:pt>
                <c:pt idx="14">
                  <c:v>584442</c:v>
                </c:pt>
                <c:pt idx="15">
                  <c:v>740239</c:v>
                </c:pt>
                <c:pt idx="16">
                  <c:v>665489</c:v>
                </c:pt>
                <c:pt idx="17">
                  <c:v>564065</c:v>
                </c:pt>
                <c:pt idx="18">
                  <c:v>605288</c:v>
                </c:pt>
                <c:pt idx="19">
                  <c:v>474787</c:v>
                </c:pt>
                <c:pt idx="20">
                  <c:v>465799</c:v>
                </c:pt>
                <c:pt idx="21">
                  <c:v>403154</c:v>
                </c:pt>
                <c:pt idx="22">
                  <c:v>618536</c:v>
                </c:pt>
                <c:pt idx="23">
                  <c:v>679625</c:v>
                </c:pt>
              </c:numCache>
            </c:numRef>
          </c:val>
          <c:smooth val="1"/>
        </c:ser>
        <c:hiLowLines>
          <c:spPr>
            <a:ln w="0">
              <a:noFill/>
            </a:ln>
          </c:spPr>
        </c:hiLowLines>
        <c:marker val="0"/>
        <c:axId val="62490526"/>
        <c:axId val="10828047"/>
      </c:lineChart>
      <c:catAx>
        <c:axId val="624905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828047"/>
        <c:crosses val="autoZero"/>
        <c:auto val="1"/>
        <c:lblAlgn val="ctr"/>
        <c:lblOffset val="100"/>
        <c:noMultiLvlLbl val="0"/>
      </c:catAx>
      <c:valAx>
        <c:axId val="1082804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売上(円)</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49052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134640</xdr:rowOff>
    </xdr:from>
    <xdr:to>
      <xdr:col>20</xdr:col>
      <xdr:colOff>331560</xdr:colOff>
      <xdr:row>17</xdr:row>
      <xdr:rowOff>156960</xdr:rowOff>
    </xdr:to>
    <xdr:graphicFrame>
      <xdr:nvGraphicFramePr>
        <xdr:cNvPr id="0" name="Chart 1"/>
        <xdr:cNvGraphicFramePr/>
      </xdr:nvGraphicFramePr>
      <xdr:xfrm>
        <a:off x="12315960" y="57168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4" min="2" style="0" width="22"/>
  </cols>
  <sheetData>
    <row r="1" customFormat="false" ht="20.8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row>
    <row r="6" customFormat="false" ht="15" hidden="false" customHeight="false" outlineLevel="0" collapsed="false">
      <c r="A6" s="4" t="s">
        <v>4</v>
      </c>
      <c r="B6" s="5" t="n">
        <f aca="false">東京実績分析!B33</f>
        <v>17272258</v>
      </c>
      <c r="D6" s="2" t="s">
        <v>5</v>
      </c>
    </row>
    <row r="7" customFormat="false" ht="15" hidden="false" customHeight="false" outlineLevel="0" collapsed="false">
      <c r="A7" s="4" t="s">
        <v>6</v>
      </c>
      <c r="B7" s="5" t="n">
        <f aca="false">東京実績分析!B34</f>
        <v>785102.636363636</v>
      </c>
      <c r="D7" s="2" t="s">
        <v>7</v>
      </c>
    </row>
    <row r="8" customFormat="false" ht="15" hidden="false" customHeight="false" outlineLevel="0" collapsed="false">
      <c r="A8" s="4" t="s">
        <v>8</v>
      </c>
      <c r="B8" s="5" t="n">
        <f aca="false">東京実績分析!B35</f>
        <v>26234</v>
      </c>
    </row>
    <row r="9" customFormat="false" ht="15" hidden="false" customHeight="false" outlineLevel="0" collapsed="false">
      <c r="A9" s="4" t="s">
        <v>9</v>
      </c>
      <c r="B9" s="5" t="n">
        <f aca="false">東京実績分析!B37</f>
        <v>3343.44909020519</v>
      </c>
    </row>
    <row r="10" customFormat="false" ht="15" hidden="false" customHeight="false" outlineLevel="0" collapsed="false">
      <c r="A10" s="4" t="s">
        <v>10</v>
      </c>
      <c r="B10" s="6" t="n">
        <f aca="false">東京実績分析!B38</f>
        <v>0.1969200274453</v>
      </c>
    </row>
    <row r="12" customFormat="false" ht="15" hidden="false" customHeight="false" outlineLevel="0" collapsed="false">
      <c r="A12" s="3" t="s">
        <v>11</v>
      </c>
    </row>
    <row r="13" customFormat="false" ht="15" hidden="false" customHeight="false" outlineLevel="0" collapsed="false">
      <c r="A13" s="7" t="s">
        <v>12</v>
      </c>
      <c r="B13" s="7" t="s">
        <v>13</v>
      </c>
      <c r="C13" s="8" t="s">
        <v>14</v>
      </c>
    </row>
    <row r="14" customFormat="false" ht="15" hidden="false" customHeight="false" outlineLevel="0" collapsed="false">
      <c r="A14" s="4" t="s">
        <v>15</v>
      </c>
      <c r="B14" s="9" t="s">
        <v>16</v>
      </c>
      <c r="C14" s="10" t="n">
        <f aca="false">前提条件!B38</f>
        <v>30000000</v>
      </c>
    </row>
    <row r="15" customFormat="false" ht="15" hidden="false" customHeight="false" outlineLevel="0" collapsed="false">
      <c r="A15" s="4" t="s">
        <v>17</v>
      </c>
      <c r="B15" s="9" t="s">
        <v>18</v>
      </c>
      <c r="C15" s="10" t="n">
        <f aca="false">前提条件!C38</f>
        <v>25000000</v>
      </c>
    </row>
    <row r="16" customFormat="false" ht="15" hidden="false" customHeight="false" outlineLevel="0" collapsed="false">
      <c r="A16" s="4" t="s">
        <v>19</v>
      </c>
      <c r="B16" s="9" t="s">
        <v>20</v>
      </c>
      <c r="C16" s="10" t="n">
        <f aca="false">前提条件!D38</f>
        <v>20000000</v>
      </c>
    </row>
    <row r="18" customFormat="false" ht="15" hidden="false" customHeight="false" outlineLevel="0" collapsed="false">
      <c r="A18" s="3" t="s">
        <v>21</v>
      </c>
    </row>
    <row r="19" customFormat="false" ht="15" hidden="false" customHeight="false" outlineLevel="0" collapsed="false">
      <c r="A19" s="7" t="s">
        <v>22</v>
      </c>
      <c r="B19" s="11" t="s">
        <v>23</v>
      </c>
      <c r="C19" s="11" t="s">
        <v>24</v>
      </c>
    </row>
    <row r="20" customFormat="false" ht="15" hidden="false" customHeight="false" outlineLevel="0" collapsed="false">
      <c r="A20" s="4" t="s">
        <v>25</v>
      </c>
      <c r="B20" s="10" t="n">
        <f aca="false">月次計画!AA8</f>
        <v>159560558</v>
      </c>
      <c r="C20" s="10" t="n">
        <f aca="false">月次計画!AB8</f>
        <v>155116500</v>
      </c>
    </row>
    <row r="21" customFormat="false" ht="15" hidden="false" customHeight="false" outlineLevel="0" collapsed="false">
      <c r="A21" s="4" t="s">
        <v>26</v>
      </c>
      <c r="B21" s="10" t="n">
        <f aca="false">月次計画!AA21</f>
        <v>92683745</v>
      </c>
      <c r="C21" s="10" t="n">
        <f aca="false">月次計画!AB21</f>
        <v>131849025</v>
      </c>
    </row>
    <row r="22" customFormat="false" ht="15" hidden="false" customHeight="false" outlineLevel="0" collapsed="false">
      <c r="A22" s="4" t="s">
        <v>27</v>
      </c>
      <c r="B22" s="10" t="n">
        <f aca="false">月次計画!AA34</f>
        <v>39096558</v>
      </c>
      <c r="C22" s="10" t="n">
        <f aca="false">月次計画!AB34</f>
        <v>100825725</v>
      </c>
    </row>
    <row r="23" customFormat="false" ht="15" hidden="false" customHeight="false" outlineLevel="0" collapsed="false">
      <c r="A23" s="7" t="s">
        <v>28</v>
      </c>
      <c r="B23" s="5" t="n">
        <f aca="false">月次計画!AA47</f>
        <v>291340861</v>
      </c>
      <c r="C23" s="5" t="n">
        <f aca="false">月次計画!AB47</f>
        <v>387791250</v>
      </c>
    </row>
    <row r="24" customFormat="false" ht="15" hidden="false" customHeight="false" outlineLevel="0" collapsed="false">
      <c r="A24" s="4" t="s">
        <v>29</v>
      </c>
      <c r="B24" s="10" t="n">
        <f aca="false">月次計画!AA48</f>
        <v>14550129</v>
      </c>
      <c r="C24" s="10" t="n">
        <f aca="false">月次計画!AB48</f>
        <v>7383968</v>
      </c>
    </row>
    <row r="25" customFormat="false" ht="15" hidden="false" customHeight="false" outlineLevel="0" collapsed="false">
      <c r="A25" s="4" t="s">
        <v>30</v>
      </c>
      <c r="B25" s="10" t="n">
        <f aca="false">月次計画!AA49</f>
        <v>18000000</v>
      </c>
      <c r="C25" s="10" t="n">
        <f aca="false">月次計画!AB49</f>
        <v>18000000</v>
      </c>
    </row>
    <row r="26" customFormat="false" ht="15" hidden="false" customHeight="false" outlineLevel="0" collapsed="false">
      <c r="A26" s="7" t="s">
        <v>31</v>
      </c>
      <c r="B26" s="5" t="n">
        <f aca="false">月次計画!AA50</f>
        <v>-3449871</v>
      </c>
      <c r="C26" s="5" t="n">
        <f aca="false">月次計画!AB50</f>
        <v>-10616032</v>
      </c>
    </row>
    <row r="28" customFormat="false" ht="15" hidden="false" customHeight="false" outlineLevel="0" collapsed="false">
      <c r="A28" s="3" t="s">
        <v>32</v>
      </c>
    </row>
    <row r="29" customFormat="false" ht="15" hidden="false" customHeight="false" outlineLevel="0" collapsed="false">
      <c r="A29" s="7" t="s">
        <v>22</v>
      </c>
      <c r="B29" s="8" t="s">
        <v>15</v>
      </c>
      <c r="C29" s="8" t="s">
        <v>17</v>
      </c>
      <c r="D29" s="8" t="s">
        <v>19</v>
      </c>
    </row>
    <row r="30" customFormat="false" ht="15" hidden="false" customHeight="false" outlineLevel="0" collapsed="false">
      <c r="A30" s="7" t="s">
        <v>33</v>
      </c>
      <c r="B30" s="12" t="n">
        <f aca="false">ROUND(前提条件!$B$10*前提条件!$B$13,0)</f>
        <v>13090000</v>
      </c>
      <c r="C30" s="12" t="n">
        <f aca="false">ROUND(前提条件!$B$10*前提条件!$B$14,0)</f>
        <v>11126500</v>
      </c>
      <c r="D30" s="12" t="n">
        <f aca="false">ROUND(前提条件!$B$10*前提条件!$B$15,0)</f>
        <v>8508500</v>
      </c>
    </row>
    <row r="31" customFormat="false" ht="15" hidden="false" customHeight="false" outlineLevel="0" collapsed="false">
      <c r="A31" s="4" t="s">
        <v>34</v>
      </c>
      <c r="B31" s="12" t="n">
        <f aca="false">ROUND(B30*前提条件!$B$28,0)</f>
        <v>5890500</v>
      </c>
      <c r="C31" s="12" t="n">
        <f aca="false">ROUND(C30*前提条件!$B$28,0)</f>
        <v>5006925</v>
      </c>
      <c r="D31" s="12" t="n">
        <f aca="false">ROUND(D30*前提条件!$B$28,0)</f>
        <v>3828825</v>
      </c>
    </row>
    <row r="32" customFormat="false" ht="15" hidden="false" customHeight="false" outlineLevel="0" collapsed="false">
      <c r="A32" s="4" t="s">
        <v>35</v>
      </c>
      <c r="B32" s="12" t="n">
        <f aca="false">B30-B31</f>
        <v>7199500</v>
      </c>
      <c r="C32" s="12" t="n">
        <f aca="false">C30-C31</f>
        <v>6119575</v>
      </c>
      <c r="D32" s="12" t="n">
        <f aca="false">D30-D31</f>
        <v>4679675</v>
      </c>
    </row>
    <row r="33" customFormat="false" ht="15" hidden="false" customHeight="false" outlineLevel="0" collapsed="false">
      <c r="A33" s="4" t="s">
        <v>36</v>
      </c>
      <c r="B33" s="12" t="n">
        <f aca="false">ROUND(B30*前提条件!$B$29,0)</f>
        <v>654500</v>
      </c>
      <c r="C33" s="12" t="n">
        <f aca="false">ROUND(C30*前提条件!$B$29,0)</f>
        <v>556325</v>
      </c>
      <c r="D33" s="12" t="n">
        <f aca="false">ROUND(D30*前提条件!$B$29,0)</f>
        <v>425425</v>
      </c>
    </row>
    <row r="34" customFormat="false" ht="15" hidden="false" customHeight="false" outlineLevel="0" collapsed="false">
      <c r="A34" s="4" t="s">
        <v>37</v>
      </c>
      <c r="B34" s="10" t="n">
        <f aca="false">前提条件!$B$34</f>
        <v>1800000</v>
      </c>
      <c r="C34" s="10" t="n">
        <f aca="false">前提条件!$C$34</f>
        <v>1400000</v>
      </c>
      <c r="D34" s="10" t="n">
        <f aca="false">前提条件!$D$34</f>
        <v>1000000</v>
      </c>
    </row>
    <row r="35" customFormat="false" ht="15" hidden="false" customHeight="false" outlineLevel="0" collapsed="false">
      <c r="A35" s="4" t="s">
        <v>38</v>
      </c>
      <c r="B35" s="10" t="n">
        <f aca="false">前提条件!$B$35</f>
        <v>1800000</v>
      </c>
      <c r="C35" s="10" t="n">
        <f aca="false">前提条件!$C$35</f>
        <v>1700000</v>
      </c>
      <c r="D35" s="10" t="n">
        <f aca="false">前提条件!$D$35</f>
        <v>1500000</v>
      </c>
    </row>
    <row r="36" customFormat="false" ht="15" hidden="false" customHeight="false" outlineLevel="0" collapsed="false">
      <c r="A36" s="4" t="s">
        <v>39</v>
      </c>
      <c r="B36" s="10" t="n">
        <f aca="false">前提条件!$B$36</f>
        <v>900000</v>
      </c>
      <c r="C36" s="10" t="n">
        <f aca="false">前提条件!$C$36</f>
        <v>900000</v>
      </c>
      <c r="D36" s="10" t="n">
        <f aca="false">前提条件!$D$36</f>
        <v>800000</v>
      </c>
    </row>
    <row r="37" customFormat="false" ht="15" hidden="false" customHeight="false" outlineLevel="0" collapsed="false">
      <c r="A37" s="4" t="s">
        <v>40</v>
      </c>
      <c r="B37" s="12" t="n">
        <f aca="false">ROUND(B30*前提条件!$B$30,0)+前提条件!$B$37</f>
        <v>923600</v>
      </c>
      <c r="C37" s="12" t="n">
        <f aca="false">ROUND(C30*前提条件!$B$30,0)+前提条件!$C$37</f>
        <v>845060</v>
      </c>
      <c r="D37" s="12" t="n">
        <f aca="false">ROUND(D30*前提条件!$B$30,0)+前提条件!$D$37</f>
        <v>740340</v>
      </c>
    </row>
    <row r="38" customFormat="false" ht="15" hidden="false" customHeight="false" outlineLevel="0" collapsed="false">
      <c r="A38" s="4" t="s">
        <v>41</v>
      </c>
      <c r="B38" s="12" t="n">
        <f aca="false">ROUND(前提条件!$B$38/(前提条件!$B$39*12),0)</f>
        <v>500000</v>
      </c>
      <c r="C38" s="12" t="n">
        <f aca="false">ROUND(前提条件!$C$38/(前提条件!$B$39*12),0)</f>
        <v>416667</v>
      </c>
      <c r="D38" s="12" t="n">
        <f aca="false">ROUND(前提条件!$D$38/(前提条件!$B$39*12),0)</f>
        <v>333333</v>
      </c>
    </row>
    <row r="39" customFormat="false" ht="15" hidden="false" customHeight="false" outlineLevel="0" collapsed="false">
      <c r="A39" s="7" t="s">
        <v>42</v>
      </c>
      <c r="B39" s="13" t="n">
        <f aca="false">B32-SUM(B33:B38)</f>
        <v>621400</v>
      </c>
      <c r="C39" s="13" t="n">
        <f aca="false">C32-SUM(C33:C38)</f>
        <v>301523</v>
      </c>
      <c r="D39" s="13" t="n">
        <f aca="false">D32-SUM(D33:D38)</f>
        <v>-119423</v>
      </c>
    </row>
    <row r="40" customFormat="false" ht="15" hidden="false" customHeight="false" outlineLevel="0" collapsed="false">
      <c r="A40" s="4" t="s">
        <v>43</v>
      </c>
      <c r="B40" s="14" t="n">
        <f aca="false">IF(B30=0,0,B39/B30)</f>
        <v>0.0474713521772345</v>
      </c>
      <c r="C40" s="14" t="n">
        <f aca="false">IF(C30=0,0,C39/C30)</f>
        <v>0.0270995371410596</v>
      </c>
      <c r="D40" s="14" t="n">
        <f aca="false">IF(D30=0,0,D39/D30)</f>
        <v>-0.0140357289769054</v>
      </c>
    </row>
    <row r="41" customFormat="false" ht="15" hidden="false" customHeight="false" outlineLevel="0" collapsed="false">
      <c r="A41" s="4" t="s">
        <v>44</v>
      </c>
      <c r="B41" s="12" t="n">
        <f aca="false">B39+B38</f>
        <v>1121400</v>
      </c>
      <c r="C41" s="12" t="n">
        <f aca="false">C39+C38</f>
        <v>718190</v>
      </c>
      <c r="D41" s="12" t="n">
        <f aca="false">D39+D38</f>
        <v>213910</v>
      </c>
    </row>
    <row r="42" customFormat="false" ht="15" hidden="false" customHeight="false" outlineLevel="0" collapsed="false">
      <c r="A42" s="4" t="s">
        <v>45</v>
      </c>
      <c r="B42" s="15" t="n">
        <f aca="false">IF(B41&lt;=0,"回収不能",ROUND(前提条件!$B$38/B41,0))</f>
        <v>27</v>
      </c>
      <c r="C42" s="15" t="n">
        <f aca="false">IF(C41&lt;=0,"回収不能",ROUND(前提条件!$C$38/C41,0))</f>
        <v>35</v>
      </c>
      <c r="D42" s="15" t="n">
        <f aca="false">IF(D41&lt;=0,"回収不能",ROUND(前提条件!$D$38/D41,0))</f>
        <v>93</v>
      </c>
    </row>
    <row r="44" customFormat="false" ht="15" hidden="false" customHeight="false" outlineLevel="0" collapsed="false">
      <c r="A44" s="3" t="s">
        <v>46</v>
      </c>
    </row>
    <row r="45" customFormat="false" ht="15" hidden="false" customHeight="false" outlineLevel="0" collapsed="false">
      <c r="A45" s="9" t="s">
        <v>47</v>
      </c>
    </row>
    <row r="46" customFormat="false" ht="15" hidden="false" customHeight="false" outlineLevel="0" collapsed="false">
      <c r="A46" s="9" t="s">
        <v>48</v>
      </c>
    </row>
    <row r="47" customFormat="false" ht="15" hidden="false" customHeight="false" outlineLevel="0" collapsed="false">
      <c r="A47" s="9" t="s">
        <v>49</v>
      </c>
    </row>
    <row r="48" customFormat="false" ht="15" hidden="false" customHeight="false" outlineLevel="0" collapsed="false">
      <c r="A48" s="9" t="s">
        <v>50</v>
      </c>
    </row>
    <row r="49" customFormat="false" ht="15" hidden="false" customHeight="false" outlineLevel="0" collapsed="false">
      <c r="A49" s="9" t="s">
        <v>51</v>
      </c>
    </row>
    <row r="50" customFormat="false" ht="15" hidden="false" customHeight="false" outlineLevel="0" collapsed="false">
      <c r="A50" s="9" t="s">
        <v>52</v>
      </c>
    </row>
    <row r="51" customFormat="false" ht="15" hidden="false" customHeight="false" outlineLevel="0" collapsed="false">
      <c r="A51" s="9" t="s">
        <v>53</v>
      </c>
    </row>
    <row r="52" customFormat="false" ht="15" hidden="false" customHeight="false" outlineLevel="0" collapsed="false">
      <c r="A52" s="9" t="s">
        <v>54</v>
      </c>
    </row>
    <row r="53" customFormat="false" ht="15" hidden="false" customHeight="false" outlineLevel="0" collapsed="false">
      <c r="A53" s="9"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4" min="2" style="0" width="13"/>
    <col collapsed="false" customWidth="true" hidden="false" outlineLevel="0" max="5" min="5" style="0" width="60"/>
    <col collapsed="false" customWidth="true" hidden="false" outlineLevel="0" max="13" min="6" style="0" width="8"/>
  </cols>
  <sheetData>
    <row r="1" customFormat="false" ht="19.4" hidden="false" customHeight="false" outlineLevel="0" collapsed="false">
      <c r="A1" s="16" t="s">
        <v>56</v>
      </c>
    </row>
    <row r="2" customFormat="false" ht="15" hidden="false" customHeight="false" outlineLevel="0" collapsed="false">
      <c r="A2" s="2" t="s">
        <v>57</v>
      </c>
    </row>
    <row r="4" customFormat="false" ht="15" hidden="false" customHeight="false" outlineLevel="0" collapsed="false">
      <c r="A4" s="3" t="s">
        <v>58</v>
      </c>
    </row>
    <row r="5" customFormat="false" ht="15" hidden="false" customHeight="false" outlineLevel="0" collapsed="false">
      <c r="A5" s="4" t="s">
        <v>59</v>
      </c>
      <c r="B5" s="17" t="n">
        <v>480000</v>
      </c>
      <c r="C5" s="4" t="s">
        <v>60</v>
      </c>
    </row>
    <row r="7" customFormat="false" ht="14.15" hidden="false" customHeight="false" outlineLevel="0" collapsed="false">
      <c r="A7" s="4" t="s">
        <v>61</v>
      </c>
      <c r="B7" s="11" t="s">
        <v>62</v>
      </c>
      <c r="C7" s="11" t="s">
        <v>63</v>
      </c>
      <c r="D7" s="11" t="s">
        <v>64</v>
      </c>
      <c r="E7" s="11" t="s">
        <v>65</v>
      </c>
      <c r="F7" s="11" t="s">
        <v>66</v>
      </c>
      <c r="G7" s="11" t="s">
        <v>67</v>
      </c>
      <c r="H7" s="11" t="s">
        <v>68</v>
      </c>
      <c r="I7" s="11" t="s">
        <v>69</v>
      </c>
      <c r="J7" s="11" t="s">
        <v>70</v>
      </c>
      <c r="K7" s="11" t="s">
        <v>71</v>
      </c>
      <c r="L7" s="11" t="s">
        <v>72</v>
      </c>
      <c r="M7" s="11" t="s">
        <v>73</v>
      </c>
    </row>
    <row r="8" customFormat="false" ht="15" hidden="false" customHeight="false" outlineLevel="0" collapsed="false">
      <c r="B8" s="18" t="n">
        <v>0.85</v>
      </c>
      <c r="C8" s="18" t="n">
        <v>0.85</v>
      </c>
      <c r="D8" s="18" t="n">
        <v>1</v>
      </c>
      <c r="E8" s="18" t="n">
        <v>0.95</v>
      </c>
      <c r="F8" s="18" t="n">
        <v>1.05</v>
      </c>
      <c r="G8" s="18" t="n">
        <v>0.9</v>
      </c>
      <c r="H8" s="18" t="n">
        <v>1.1</v>
      </c>
      <c r="I8" s="18" t="n">
        <v>1.2</v>
      </c>
      <c r="J8" s="18" t="n">
        <v>0.95</v>
      </c>
      <c r="K8" s="18" t="n">
        <v>0.95</v>
      </c>
      <c r="L8" s="18" t="n">
        <v>0.95</v>
      </c>
      <c r="M8" s="18" t="n">
        <v>1.1</v>
      </c>
    </row>
    <row r="10" customFormat="false" ht="15" hidden="false" customHeight="false" outlineLevel="0" collapsed="false">
      <c r="A10" s="4" t="s">
        <v>74</v>
      </c>
      <c r="B10" s="12" t="n">
        <f aca="false">ROUND(B5*30/H8,-4)</f>
        <v>13090000</v>
      </c>
      <c r="C10" s="4" t="s">
        <v>75</v>
      </c>
    </row>
    <row r="12" customFormat="false" ht="15" hidden="false" customHeight="false" outlineLevel="0" collapsed="false">
      <c r="A12" s="7" t="s">
        <v>76</v>
      </c>
    </row>
    <row r="13" customFormat="false" ht="15" hidden="false" customHeight="false" outlineLevel="0" collapsed="false">
      <c r="A13" s="4" t="s">
        <v>15</v>
      </c>
      <c r="B13" s="18" t="n">
        <v>1</v>
      </c>
      <c r="C13" s="4" t="s">
        <v>77</v>
      </c>
    </row>
    <row r="14" customFormat="false" ht="15" hidden="false" customHeight="false" outlineLevel="0" collapsed="false">
      <c r="A14" s="4" t="s">
        <v>17</v>
      </c>
      <c r="B14" s="18" t="n">
        <v>0.85</v>
      </c>
      <c r="C14" s="4" t="s">
        <v>78</v>
      </c>
    </row>
    <row r="15" customFormat="false" ht="15" hidden="false" customHeight="false" outlineLevel="0" collapsed="false">
      <c r="A15" s="4" t="s">
        <v>19</v>
      </c>
      <c r="B15" s="18" t="n">
        <v>0.65</v>
      </c>
      <c r="C15" s="4" t="s">
        <v>79</v>
      </c>
    </row>
    <row r="17" customFormat="false" ht="15" hidden="false" customHeight="false" outlineLevel="0" collapsed="false">
      <c r="A17" s="7" t="s">
        <v>80</v>
      </c>
    </row>
    <row r="18" customFormat="false" ht="15" hidden="false" customHeight="false" outlineLevel="0" collapsed="false">
      <c r="A18" s="4" t="s">
        <v>81</v>
      </c>
      <c r="B18" s="18" t="n">
        <v>1.6</v>
      </c>
      <c r="C18" s="4" t="s">
        <v>82</v>
      </c>
    </row>
    <row r="19" customFormat="false" ht="15" hidden="false" customHeight="false" outlineLevel="0" collapsed="false">
      <c r="A19" s="4" t="s">
        <v>83</v>
      </c>
      <c r="B19" s="18" t="n">
        <v>1.1</v>
      </c>
      <c r="C19" s="4" t="s">
        <v>84</v>
      </c>
    </row>
    <row r="20" customFormat="false" ht="15" hidden="false" customHeight="false" outlineLevel="0" collapsed="false">
      <c r="A20" s="4" t="s">
        <v>85</v>
      </c>
      <c r="B20" s="18" t="n">
        <v>1</v>
      </c>
      <c r="C20" s="4" t="s">
        <v>86</v>
      </c>
    </row>
    <row r="22" customFormat="false" ht="15" hidden="false" customHeight="false" outlineLevel="0" collapsed="false">
      <c r="A22" s="3" t="s">
        <v>87</v>
      </c>
    </row>
    <row r="23" customFormat="false" ht="15" hidden="false" customHeight="false" outlineLevel="0" collapsed="false">
      <c r="A23" s="4" t="s">
        <v>15</v>
      </c>
      <c r="B23" s="19" t="n">
        <v>1</v>
      </c>
      <c r="C23" s="9" t="s">
        <v>88</v>
      </c>
    </row>
    <row r="24" customFormat="false" ht="15" hidden="false" customHeight="false" outlineLevel="0" collapsed="false">
      <c r="A24" s="4" t="s">
        <v>17</v>
      </c>
      <c r="B24" s="19" t="n">
        <v>5</v>
      </c>
      <c r="C24" s="9" t="s">
        <v>89</v>
      </c>
    </row>
    <row r="25" customFormat="false" ht="15" hidden="false" customHeight="false" outlineLevel="0" collapsed="false">
      <c r="A25" s="4" t="s">
        <v>19</v>
      </c>
      <c r="B25" s="19" t="n">
        <v>9</v>
      </c>
      <c r="C25" s="9" t="s">
        <v>90</v>
      </c>
    </row>
    <row r="27" customFormat="false" ht="15" hidden="false" customHeight="false" outlineLevel="0" collapsed="false">
      <c r="A27" s="3" t="s">
        <v>91</v>
      </c>
    </row>
    <row r="28" customFormat="false" ht="15" hidden="false" customHeight="false" outlineLevel="0" collapsed="false">
      <c r="A28" s="4" t="s">
        <v>92</v>
      </c>
      <c r="B28" s="20" t="n">
        <v>0.45</v>
      </c>
      <c r="C28" s="4" t="s">
        <v>93</v>
      </c>
    </row>
    <row r="29" customFormat="false" ht="15" hidden="false" customHeight="false" outlineLevel="0" collapsed="false">
      <c r="A29" s="4" t="s">
        <v>94</v>
      </c>
      <c r="B29" s="20" t="n">
        <v>0.05</v>
      </c>
      <c r="C29" s="4" t="s">
        <v>95</v>
      </c>
    </row>
    <row r="30" customFormat="false" ht="15" hidden="false" customHeight="false" outlineLevel="0" collapsed="false">
      <c r="A30" s="4" t="s">
        <v>96</v>
      </c>
      <c r="B30" s="20" t="n">
        <v>0.04</v>
      </c>
      <c r="C30" s="4" t="s">
        <v>97</v>
      </c>
    </row>
    <row r="32" customFormat="false" ht="15" hidden="false" customHeight="false" outlineLevel="0" collapsed="false">
      <c r="A32" s="3" t="s">
        <v>98</v>
      </c>
    </row>
    <row r="33" customFormat="false" ht="15" hidden="false" customHeight="false" outlineLevel="0" collapsed="false">
      <c r="A33" s="7" t="s">
        <v>22</v>
      </c>
      <c r="B33" s="8" t="s">
        <v>15</v>
      </c>
      <c r="C33" s="8" t="s">
        <v>17</v>
      </c>
      <c r="D33" s="8" t="s">
        <v>19</v>
      </c>
      <c r="E33" s="4" t="s">
        <v>99</v>
      </c>
    </row>
    <row r="34" customFormat="false" ht="15" hidden="false" customHeight="false" outlineLevel="0" collapsed="false">
      <c r="A34" s="4" t="s">
        <v>100</v>
      </c>
      <c r="B34" s="17" t="n">
        <v>1800000</v>
      </c>
      <c r="C34" s="17" t="n">
        <v>1400000</v>
      </c>
      <c r="D34" s="17" t="n">
        <v>1000000</v>
      </c>
      <c r="E34" s="4" t="s">
        <v>101</v>
      </c>
    </row>
    <row r="35" customFormat="false" ht="15" hidden="false" customHeight="false" outlineLevel="0" collapsed="false">
      <c r="A35" s="4" t="s">
        <v>102</v>
      </c>
      <c r="B35" s="17" t="n">
        <v>1800000</v>
      </c>
      <c r="C35" s="17" t="n">
        <v>1700000</v>
      </c>
      <c r="D35" s="17" t="n">
        <v>1500000</v>
      </c>
      <c r="E35" s="4" t="s">
        <v>103</v>
      </c>
    </row>
    <row r="36" customFormat="false" ht="15" hidden="false" customHeight="false" outlineLevel="0" collapsed="false">
      <c r="A36" s="4" t="s">
        <v>104</v>
      </c>
      <c r="B36" s="17" t="n">
        <v>900000</v>
      </c>
      <c r="C36" s="17" t="n">
        <v>900000</v>
      </c>
      <c r="D36" s="17" t="n">
        <v>800000</v>
      </c>
      <c r="E36" s="4" t="s">
        <v>105</v>
      </c>
    </row>
    <row r="37" customFormat="false" ht="15" hidden="false" customHeight="false" outlineLevel="0" collapsed="false">
      <c r="A37" s="4" t="s">
        <v>106</v>
      </c>
      <c r="B37" s="17" t="n">
        <v>400000</v>
      </c>
      <c r="C37" s="17" t="n">
        <v>400000</v>
      </c>
      <c r="D37" s="17" t="n">
        <v>400000</v>
      </c>
      <c r="E37" s="4" t="s">
        <v>107</v>
      </c>
    </row>
    <row r="38" customFormat="false" ht="15" hidden="false" customHeight="false" outlineLevel="0" collapsed="false">
      <c r="A38" s="4" t="s">
        <v>108</v>
      </c>
      <c r="B38" s="17" t="n">
        <v>30000000</v>
      </c>
      <c r="C38" s="17" t="n">
        <v>25000000</v>
      </c>
      <c r="D38" s="17" t="n">
        <v>20000000</v>
      </c>
      <c r="E38" s="4" t="s">
        <v>109</v>
      </c>
    </row>
    <row r="39" customFormat="false" ht="15" hidden="false" customHeight="false" outlineLevel="0" collapsed="false">
      <c r="A39" s="4" t="s">
        <v>110</v>
      </c>
      <c r="B39" s="19" t="n">
        <v>5</v>
      </c>
    </row>
    <row r="41" customFormat="false" ht="15" hidden="false" customHeight="false" outlineLevel="0" collapsed="false">
      <c r="A41" s="3" t="s">
        <v>111</v>
      </c>
    </row>
    <row r="42" customFormat="false" ht="15" hidden="false" customHeight="false" outlineLevel="0" collapsed="false">
      <c r="A42" s="4" t="s">
        <v>112</v>
      </c>
      <c r="B42" s="17" t="n">
        <v>1500000</v>
      </c>
      <c r="C42" s="4" t="s">
        <v>113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6"/>
    <col collapsed="false" customWidth="true" hidden="false" outlineLevel="0" max="28" min="3" style="0" width="12"/>
  </cols>
  <sheetData>
    <row r="1" customFormat="false" ht="19.4" hidden="false" customHeight="false" outlineLevel="0" collapsed="false">
      <c r="A1" s="16" t="s">
        <v>114</v>
      </c>
    </row>
    <row r="2" customFormat="false" ht="15" hidden="false" customHeight="false" outlineLevel="0" collapsed="false">
      <c r="A2" s="2" t="s">
        <v>115</v>
      </c>
    </row>
    <row r="3" customFormat="false" ht="15" hidden="false" customHeight="false" outlineLevel="0" collapsed="false">
      <c r="A3" s="7" t="s">
        <v>116</v>
      </c>
      <c r="C3" s="21" t="n">
        <v>1</v>
      </c>
      <c r="D3" s="21" t="n">
        <v>2</v>
      </c>
      <c r="E3" s="21" t="n">
        <v>3</v>
      </c>
      <c r="F3" s="21" t="n">
        <v>4</v>
      </c>
      <c r="G3" s="21" t="n">
        <v>5</v>
      </c>
      <c r="H3" s="21" t="n">
        <v>6</v>
      </c>
      <c r="I3" s="21" t="n">
        <v>7</v>
      </c>
      <c r="J3" s="21" t="n">
        <v>8</v>
      </c>
      <c r="K3" s="21" t="n">
        <v>9</v>
      </c>
      <c r="L3" s="21" t="n">
        <v>10</v>
      </c>
      <c r="M3" s="21" t="n">
        <v>11</v>
      </c>
      <c r="N3" s="21" t="n">
        <v>12</v>
      </c>
      <c r="O3" s="21" t="n">
        <v>13</v>
      </c>
      <c r="P3" s="21" t="n">
        <v>14</v>
      </c>
      <c r="Q3" s="21" t="n">
        <v>15</v>
      </c>
      <c r="R3" s="21" t="n">
        <v>16</v>
      </c>
      <c r="S3" s="21" t="n">
        <v>17</v>
      </c>
      <c r="T3" s="21" t="n">
        <v>18</v>
      </c>
      <c r="U3" s="21" t="n">
        <v>19</v>
      </c>
      <c r="V3" s="21" t="n">
        <v>20</v>
      </c>
      <c r="W3" s="21" t="n">
        <v>21</v>
      </c>
      <c r="X3" s="21" t="n">
        <v>22</v>
      </c>
      <c r="Y3" s="21" t="n">
        <v>23</v>
      </c>
      <c r="Z3" s="21" t="n">
        <v>24</v>
      </c>
    </row>
    <row r="4" customFormat="false" ht="25.35" hidden="false" customHeight="false" outlineLevel="0" collapsed="false">
      <c r="A4" s="7" t="s">
        <v>117</v>
      </c>
      <c r="C4" s="22" t="s">
        <v>118</v>
      </c>
      <c r="D4" s="22" t="s">
        <v>119</v>
      </c>
      <c r="E4" s="22" t="s">
        <v>120</v>
      </c>
      <c r="F4" s="22" t="s">
        <v>121</v>
      </c>
      <c r="G4" s="22" t="s">
        <v>122</v>
      </c>
      <c r="H4" s="22" t="s">
        <v>123</v>
      </c>
      <c r="I4" s="22" t="s">
        <v>124</v>
      </c>
      <c r="J4" s="22" t="s">
        <v>125</v>
      </c>
      <c r="K4" s="22" t="s">
        <v>126</v>
      </c>
      <c r="L4" s="22" t="s">
        <v>127</v>
      </c>
      <c r="M4" s="22" t="s">
        <v>128</v>
      </c>
      <c r="N4" s="22" t="s">
        <v>129</v>
      </c>
      <c r="O4" s="22" t="s">
        <v>130</v>
      </c>
      <c r="P4" s="22" t="s">
        <v>131</v>
      </c>
      <c r="Q4" s="22" t="s">
        <v>132</v>
      </c>
      <c r="R4" s="22" t="s">
        <v>133</v>
      </c>
      <c r="S4" s="22" t="s">
        <v>134</v>
      </c>
      <c r="T4" s="22" t="s">
        <v>135</v>
      </c>
      <c r="U4" s="22" t="s">
        <v>136</v>
      </c>
      <c r="V4" s="22" t="s">
        <v>137</v>
      </c>
      <c r="W4" s="22" t="s">
        <v>138</v>
      </c>
      <c r="X4" s="22" t="s">
        <v>139</v>
      </c>
      <c r="Y4" s="22" t="s">
        <v>140</v>
      </c>
      <c r="Z4" s="22" t="s">
        <v>141</v>
      </c>
      <c r="AA4" s="23" t="s">
        <v>142</v>
      </c>
      <c r="AB4" s="23" t="s">
        <v>143</v>
      </c>
    </row>
    <row r="5" customFormat="false" ht="15" hidden="false" customHeight="false" outlineLevel="0" collapsed="false">
      <c r="A5" s="7" t="s">
        <v>144</v>
      </c>
      <c r="C5" s="24" t="n">
        <v>7</v>
      </c>
      <c r="D5" s="24" t="n">
        <v>8</v>
      </c>
      <c r="E5" s="24" t="n">
        <v>9</v>
      </c>
      <c r="F5" s="24" t="n">
        <v>10</v>
      </c>
      <c r="G5" s="24" t="n">
        <v>11</v>
      </c>
      <c r="H5" s="24" t="n">
        <v>12</v>
      </c>
      <c r="I5" s="24" t="n">
        <v>1</v>
      </c>
      <c r="J5" s="24" t="n">
        <v>2</v>
      </c>
      <c r="K5" s="24" t="n">
        <v>3</v>
      </c>
      <c r="L5" s="24" t="n">
        <v>4</v>
      </c>
      <c r="M5" s="24" t="n">
        <v>5</v>
      </c>
      <c r="N5" s="24" t="n">
        <v>6</v>
      </c>
      <c r="O5" s="24" t="n">
        <v>7</v>
      </c>
      <c r="P5" s="24" t="n">
        <v>8</v>
      </c>
      <c r="Q5" s="24" t="n">
        <v>9</v>
      </c>
      <c r="R5" s="24" t="n">
        <v>10</v>
      </c>
      <c r="S5" s="24" t="n">
        <v>11</v>
      </c>
      <c r="T5" s="24" t="n">
        <v>12</v>
      </c>
      <c r="U5" s="24" t="n">
        <v>1</v>
      </c>
      <c r="V5" s="24" t="n">
        <v>2</v>
      </c>
      <c r="W5" s="24" t="n">
        <v>3</v>
      </c>
      <c r="X5" s="24" t="n">
        <v>4</v>
      </c>
      <c r="Y5" s="24" t="n">
        <v>5</v>
      </c>
      <c r="Z5" s="24" t="n">
        <v>6</v>
      </c>
    </row>
    <row r="7" customFormat="false" ht="15" hidden="false" customHeight="false" outlineLevel="0" collapsed="false">
      <c r="A7" s="3" t="s">
        <v>145</v>
      </c>
      <c r="B7" s="25" t="s">
        <v>146</v>
      </c>
    </row>
    <row r="8" customFormat="false" ht="15" hidden="false" customHeight="false" outlineLevel="0" collapsed="false">
      <c r="A8" s="7" t="s">
        <v>33</v>
      </c>
      <c r="C8" s="17" t="n">
        <v>17272258</v>
      </c>
      <c r="D8" s="12" t="n">
        <f aca="false">IF(D$3&lt;前提条件!$B$23,0,ROUND(前提条件!$B$10*前提条件!$B$13*IF(D$3-前提条件!$B$23+1=1,前提条件!$B$18,IF(D$3-前提条件!$B$23+1=2,前提条件!$B$19,前提条件!$B$20))*INDEX(前提条件!$B$8:$M$8,D$5),0))</f>
        <v>17278800</v>
      </c>
      <c r="E8" s="12" t="n">
        <f aca="false">IF(E$3&lt;前提条件!$B$23,0,ROUND(前提条件!$B$10*前提条件!$B$13*IF(E$3-前提条件!$B$23+1=1,前提条件!$B$18,IF(E$3-前提条件!$B$23+1=2,前提条件!$B$19,前提条件!$B$20))*INDEX(前提条件!$B$8:$M$8,E$5),0))</f>
        <v>12435500</v>
      </c>
      <c r="F8" s="12" t="n">
        <f aca="false">IF(F$3&lt;前提条件!$B$23,0,ROUND(前提条件!$B$10*前提条件!$B$13*IF(F$3-前提条件!$B$23+1=1,前提条件!$B$18,IF(F$3-前提条件!$B$23+1=2,前提条件!$B$19,前提条件!$B$20))*INDEX(前提条件!$B$8:$M$8,F$5),0))</f>
        <v>12435500</v>
      </c>
      <c r="G8" s="12" t="n">
        <f aca="false">IF(G$3&lt;前提条件!$B$23,0,ROUND(前提条件!$B$10*前提条件!$B$13*IF(G$3-前提条件!$B$23+1=1,前提条件!$B$18,IF(G$3-前提条件!$B$23+1=2,前提条件!$B$19,前提条件!$B$20))*INDEX(前提条件!$B$8:$M$8,G$5),0))</f>
        <v>12435500</v>
      </c>
      <c r="H8" s="12" t="n">
        <f aca="false">IF(H$3&lt;前提条件!$B$23,0,ROUND(前提条件!$B$10*前提条件!$B$13*IF(H$3-前提条件!$B$23+1=1,前提条件!$B$18,IF(H$3-前提条件!$B$23+1=2,前提条件!$B$19,前提条件!$B$20))*INDEX(前提条件!$B$8:$M$8,H$5),0))</f>
        <v>14399000</v>
      </c>
      <c r="I8" s="12" t="n">
        <f aca="false">IF(I$3&lt;前提条件!$B$23,0,ROUND(前提条件!$B$10*前提条件!$B$13*IF(I$3-前提条件!$B$23+1=1,前提条件!$B$18,IF(I$3-前提条件!$B$23+1=2,前提条件!$B$19,前提条件!$B$20))*INDEX(前提条件!$B$8:$M$8,I$5),0))</f>
        <v>11126500</v>
      </c>
      <c r="J8" s="12" t="n">
        <f aca="false">IF(J$3&lt;前提条件!$B$23,0,ROUND(前提条件!$B$10*前提条件!$B$13*IF(J$3-前提条件!$B$23+1=1,前提条件!$B$18,IF(J$3-前提条件!$B$23+1=2,前提条件!$B$19,前提条件!$B$20))*INDEX(前提条件!$B$8:$M$8,J$5),0))</f>
        <v>11126500</v>
      </c>
      <c r="K8" s="12" t="n">
        <f aca="false">IF(K$3&lt;前提条件!$B$23,0,ROUND(前提条件!$B$10*前提条件!$B$13*IF(K$3-前提条件!$B$23+1=1,前提条件!$B$18,IF(K$3-前提条件!$B$23+1=2,前提条件!$B$19,前提条件!$B$20))*INDEX(前提条件!$B$8:$M$8,K$5),0))</f>
        <v>13090000</v>
      </c>
      <c r="L8" s="12" t="n">
        <f aca="false">IF(L$3&lt;前提条件!$B$23,0,ROUND(前提条件!$B$10*前提条件!$B$13*IF(L$3-前提条件!$B$23+1=1,前提条件!$B$18,IF(L$3-前提条件!$B$23+1=2,前提条件!$B$19,前提条件!$B$20))*INDEX(前提条件!$B$8:$M$8,L$5),0))</f>
        <v>12435500</v>
      </c>
      <c r="M8" s="12" t="n">
        <f aca="false">IF(M$3&lt;前提条件!$B$23,0,ROUND(前提条件!$B$10*前提条件!$B$13*IF(M$3-前提条件!$B$23+1=1,前提条件!$B$18,IF(M$3-前提条件!$B$23+1=2,前提条件!$B$19,前提条件!$B$20))*INDEX(前提条件!$B$8:$M$8,M$5),0))</f>
        <v>13744500</v>
      </c>
      <c r="N8" s="12" t="n">
        <f aca="false">IF(N$3&lt;前提条件!$B$23,0,ROUND(前提条件!$B$10*前提条件!$B$13*IF(N$3-前提条件!$B$23+1=1,前提条件!$B$18,IF(N$3-前提条件!$B$23+1=2,前提条件!$B$19,前提条件!$B$20))*INDEX(前提条件!$B$8:$M$8,N$5),0))</f>
        <v>11781000</v>
      </c>
      <c r="O8" s="12" t="n">
        <f aca="false">IF(O$3&lt;前提条件!$B$23,0,ROUND(前提条件!$B$10*前提条件!$B$13*IF(O$3-前提条件!$B$23+1=1,前提条件!$B$18,IF(O$3-前提条件!$B$23+1=2,前提条件!$B$19,前提条件!$B$20))*INDEX(前提条件!$B$8:$M$8,O$5),0))</f>
        <v>14399000</v>
      </c>
      <c r="P8" s="12" t="n">
        <f aca="false">IF(P$3&lt;前提条件!$B$23,0,ROUND(前提条件!$B$10*前提条件!$B$13*IF(P$3-前提条件!$B$23+1=1,前提条件!$B$18,IF(P$3-前提条件!$B$23+1=2,前提条件!$B$19,前提条件!$B$20))*INDEX(前提条件!$B$8:$M$8,P$5),0))</f>
        <v>15708000</v>
      </c>
      <c r="Q8" s="12" t="n">
        <f aca="false">IF(Q$3&lt;前提条件!$B$23,0,ROUND(前提条件!$B$10*前提条件!$B$13*IF(Q$3-前提条件!$B$23+1=1,前提条件!$B$18,IF(Q$3-前提条件!$B$23+1=2,前提条件!$B$19,前提条件!$B$20))*INDEX(前提条件!$B$8:$M$8,Q$5),0))</f>
        <v>12435500</v>
      </c>
      <c r="R8" s="12" t="n">
        <f aca="false">IF(R$3&lt;前提条件!$B$23,0,ROUND(前提条件!$B$10*前提条件!$B$13*IF(R$3-前提条件!$B$23+1=1,前提条件!$B$18,IF(R$3-前提条件!$B$23+1=2,前提条件!$B$19,前提条件!$B$20))*INDEX(前提条件!$B$8:$M$8,R$5),0))</f>
        <v>12435500</v>
      </c>
      <c r="S8" s="12" t="n">
        <f aca="false">IF(S$3&lt;前提条件!$B$23,0,ROUND(前提条件!$B$10*前提条件!$B$13*IF(S$3-前提条件!$B$23+1=1,前提条件!$B$18,IF(S$3-前提条件!$B$23+1=2,前提条件!$B$19,前提条件!$B$20))*INDEX(前提条件!$B$8:$M$8,S$5),0))</f>
        <v>12435500</v>
      </c>
      <c r="T8" s="12" t="n">
        <f aca="false">IF(T$3&lt;前提条件!$B$23,0,ROUND(前提条件!$B$10*前提条件!$B$13*IF(T$3-前提条件!$B$23+1=1,前提条件!$B$18,IF(T$3-前提条件!$B$23+1=2,前提条件!$B$19,前提条件!$B$20))*INDEX(前提条件!$B$8:$M$8,T$5),0))</f>
        <v>14399000</v>
      </c>
      <c r="U8" s="12" t="n">
        <f aca="false">IF(U$3&lt;前提条件!$B$23,0,ROUND(前提条件!$B$10*前提条件!$B$13*IF(U$3-前提条件!$B$23+1=1,前提条件!$B$18,IF(U$3-前提条件!$B$23+1=2,前提条件!$B$19,前提条件!$B$20))*INDEX(前提条件!$B$8:$M$8,U$5),0))</f>
        <v>11126500</v>
      </c>
      <c r="V8" s="12" t="n">
        <f aca="false">IF(V$3&lt;前提条件!$B$23,0,ROUND(前提条件!$B$10*前提条件!$B$13*IF(V$3-前提条件!$B$23+1=1,前提条件!$B$18,IF(V$3-前提条件!$B$23+1=2,前提条件!$B$19,前提条件!$B$20))*INDEX(前提条件!$B$8:$M$8,V$5),0))</f>
        <v>11126500</v>
      </c>
      <c r="W8" s="12" t="n">
        <f aca="false">IF(W$3&lt;前提条件!$B$23,0,ROUND(前提条件!$B$10*前提条件!$B$13*IF(W$3-前提条件!$B$23+1=1,前提条件!$B$18,IF(W$3-前提条件!$B$23+1=2,前提条件!$B$19,前提条件!$B$20))*INDEX(前提条件!$B$8:$M$8,W$5),0))</f>
        <v>13090000</v>
      </c>
      <c r="X8" s="12" t="n">
        <f aca="false">IF(X$3&lt;前提条件!$B$23,0,ROUND(前提条件!$B$10*前提条件!$B$13*IF(X$3-前提条件!$B$23+1=1,前提条件!$B$18,IF(X$3-前提条件!$B$23+1=2,前提条件!$B$19,前提条件!$B$20))*INDEX(前提条件!$B$8:$M$8,X$5),0))</f>
        <v>12435500</v>
      </c>
      <c r="Y8" s="12" t="n">
        <f aca="false">IF(Y$3&lt;前提条件!$B$23,0,ROUND(前提条件!$B$10*前提条件!$B$13*IF(Y$3-前提条件!$B$23+1=1,前提条件!$B$18,IF(Y$3-前提条件!$B$23+1=2,前提条件!$B$19,前提条件!$B$20))*INDEX(前提条件!$B$8:$M$8,Y$5),0))</f>
        <v>13744500</v>
      </c>
      <c r="Z8" s="12" t="n">
        <f aca="false">IF(Z$3&lt;前提条件!$B$23,0,ROUND(前提条件!$B$10*前提条件!$B$13*IF(Z$3-前提条件!$B$23+1=1,前提条件!$B$18,IF(Z$3-前提条件!$B$23+1=2,前提条件!$B$19,前提条件!$B$20))*INDEX(前提条件!$B$8:$M$8,Z$5),0))</f>
        <v>11781000</v>
      </c>
      <c r="AA8" s="13" t="n">
        <f aca="false">SUM(C8:N8)</f>
        <v>159560558</v>
      </c>
      <c r="AB8" s="13" t="n">
        <f aca="false">SUM(O8:Z8)</f>
        <v>155116500</v>
      </c>
    </row>
    <row r="9" customFormat="false" ht="15" hidden="false" customHeight="false" outlineLevel="0" collapsed="false">
      <c r="A9" s="4" t="s">
        <v>34</v>
      </c>
      <c r="C9" s="12" t="n">
        <f aca="false">ROUND(C8*前提条件!$B$28,0)</f>
        <v>7772516</v>
      </c>
      <c r="D9" s="12" t="n">
        <f aca="false">ROUND(D8*前提条件!$B$28,0)</f>
        <v>7775460</v>
      </c>
      <c r="E9" s="12" t="n">
        <f aca="false">ROUND(E8*前提条件!$B$28,0)</f>
        <v>5595975</v>
      </c>
      <c r="F9" s="12" t="n">
        <f aca="false">ROUND(F8*前提条件!$B$28,0)</f>
        <v>5595975</v>
      </c>
      <c r="G9" s="12" t="n">
        <f aca="false">ROUND(G8*前提条件!$B$28,0)</f>
        <v>5595975</v>
      </c>
      <c r="H9" s="12" t="n">
        <f aca="false">ROUND(H8*前提条件!$B$28,0)</f>
        <v>6479550</v>
      </c>
      <c r="I9" s="12" t="n">
        <f aca="false">ROUND(I8*前提条件!$B$28,0)</f>
        <v>5006925</v>
      </c>
      <c r="J9" s="12" t="n">
        <f aca="false">ROUND(J8*前提条件!$B$28,0)</f>
        <v>5006925</v>
      </c>
      <c r="K9" s="12" t="n">
        <f aca="false">ROUND(K8*前提条件!$B$28,0)</f>
        <v>5890500</v>
      </c>
      <c r="L9" s="12" t="n">
        <f aca="false">ROUND(L8*前提条件!$B$28,0)</f>
        <v>5595975</v>
      </c>
      <c r="M9" s="12" t="n">
        <f aca="false">ROUND(M8*前提条件!$B$28,0)</f>
        <v>6185025</v>
      </c>
      <c r="N9" s="12" t="n">
        <f aca="false">ROUND(N8*前提条件!$B$28,0)</f>
        <v>5301450</v>
      </c>
      <c r="O9" s="12" t="n">
        <f aca="false">ROUND(O8*前提条件!$B$28,0)</f>
        <v>6479550</v>
      </c>
      <c r="P9" s="12" t="n">
        <f aca="false">ROUND(P8*前提条件!$B$28,0)</f>
        <v>7068600</v>
      </c>
      <c r="Q9" s="12" t="n">
        <f aca="false">ROUND(Q8*前提条件!$B$28,0)</f>
        <v>5595975</v>
      </c>
      <c r="R9" s="12" t="n">
        <f aca="false">ROUND(R8*前提条件!$B$28,0)</f>
        <v>5595975</v>
      </c>
      <c r="S9" s="12" t="n">
        <f aca="false">ROUND(S8*前提条件!$B$28,0)</f>
        <v>5595975</v>
      </c>
      <c r="T9" s="12" t="n">
        <f aca="false">ROUND(T8*前提条件!$B$28,0)</f>
        <v>6479550</v>
      </c>
      <c r="U9" s="12" t="n">
        <f aca="false">ROUND(U8*前提条件!$B$28,0)</f>
        <v>5006925</v>
      </c>
      <c r="V9" s="12" t="n">
        <f aca="false">ROUND(V8*前提条件!$B$28,0)</f>
        <v>5006925</v>
      </c>
      <c r="W9" s="12" t="n">
        <f aca="false">ROUND(W8*前提条件!$B$28,0)</f>
        <v>5890500</v>
      </c>
      <c r="X9" s="12" t="n">
        <f aca="false">ROUND(X8*前提条件!$B$28,0)</f>
        <v>5595975</v>
      </c>
      <c r="Y9" s="12" t="n">
        <f aca="false">ROUND(Y8*前提条件!$B$28,0)</f>
        <v>6185025</v>
      </c>
      <c r="Z9" s="12" t="n">
        <f aca="false">ROUND(Z8*前提条件!$B$28,0)</f>
        <v>5301450</v>
      </c>
      <c r="AA9" s="13" t="n">
        <f aca="false">SUM(C9:N9)</f>
        <v>71802251</v>
      </c>
      <c r="AB9" s="13" t="n">
        <f aca="false">SUM(O9:Z9)</f>
        <v>69802425</v>
      </c>
    </row>
    <row r="10" customFormat="false" ht="15" hidden="false" customHeight="false" outlineLevel="0" collapsed="false">
      <c r="A10" s="7" t="s">
        <v>35</v>
      </c>
      <c r="C10" s="12" t="n">
        <f aca="false">C8-C9</f>
        <v>9499742</v>
      </c>
      <c r="D10" s="12" t="n">
        <f aca="false">D8-D9</f>
        <v>9503340</v>
      </c>
      <c r="E10" s="12" t="n">
        <f aca="false">E8-E9</f>
        <v>6839525</v>
      </c>
      <c r="F10" s="12" t="n">
        <f aca="false">F8-F9</f>
        <v>6839525</v>
      </c>
      <c r="G10" s="12" t="n">
        <f aca="false">G8-G9</f>
        <v>6839525</v>
      </c>
      <c r="H10" s="12" t="n">
        <f aca="false">H8-H9</f>
        <v>7919450</v>
      </c>
      <c r="I10" s="12" t="n">
        <f aca="false">I8-I9</f>
        <v>6119575</v>
      </c>
      <c r="J10" s="12" t="n">
        <f aca="false">J8-J9</f>
        <v>6119575</v>
      </c>
      <c r="K10" s="12" t="n">
        <f aca="false">K8-K9</f>
        <v>7199500</v>
      </c>
      <c r="L10" s="12" t="n">
        <f aca="false">L8-L9</f>
        <v>6839525</v>
      </c>
      <c r="M10" s="12" t="n">
        <f aca="false">M8-M9</f>
        <v>7559475</v>
      </c>
      <c r="N10" s="12" t="n">
        <f aca="false">N8-N9</f>
        <v>6479550</v>
      </c>
      <c r="O10" s="12" t="n">
        <f aca="false">O8-O9</f>
        <v>7919450</v>
      </c>
      <c r="P10" s="12" t="n">
        <f aca="false">P8-P9</f>
        <v>8639400</v>
      </c>
      <c r="Q10" s="12" t="n">
        <f aca="false">Q8-Q9</f>
        <v>6839525</v>
      </c>
      <c r="R10" s="12" t="n">
        <f aca="false">R8-R9</f>
        <v>6839525</v>
      </c>
      <c r="S10" s="12" t="n">
        <f aca="false">S8-S9</f>
        <v>6839525</v>
      </c>
      <c r="T10" s="12" t="n">
        <f aca="false">T8-T9</f>
        <v>7919450</v>
      </c>
      <c r="U10" s="12" t="n">
        <f aca="false">U8-U9</f>
        <v>6119575</v>
      </c>
      <c r="V10" s="12" t="n">
        <f aca="false">V8-V9</f>
        <v>6119575</v>
      </c>
      <c r="W10" s="12" t="n">
        <f aca="false">W8-W9</f>
        <v>7199500</v>
      </c>
      <c r="X10" s="12" t="n">
        <f aca="false">X8-X9</f>
        <v>6839525</v>
      </c>
      <c r="Y10" s="12" t="n">
        <f aca="false">Y8-Y9</f>
        <v>7559475</v>
      </c>
      <c r="Z10" s="12" t="n">
        <f aca="false">Z8-Z9</f>
        <v>6479550</v>
      </c>
      <c r="AA10" s="13" t="n">
        <f aca="false">SUM(C10:N10)</f>
        <v>87758307</v>
      </c>
      <c r="AB10" s="13" t="n">
        <f aca="false">SUM(O10:Z10)</f>
        <v>85314075</v>
      </c>
    </row>
    <row r="11" customFormat="false" ht="15" hidden="false" customHeight="false" outlineLevel="0" collapsed="false">
      <c r="A11" s="4" t="s">
        <v>36</v>
      </c>
      <c r="C11" s="12" t="n">
        <f aca="false">ROUND(C8*前提条件!$B$29,0)</f>
        <v>863613</v>
      </c>
      <c r="D11" s="12" t="n">
        <f aca="false">ROUND(D8*前提条件!$B$29,0)</f>
        <v>863940</v>
      </c>
      <c r="E11" s="12" t="n">
        <f aca="false">ROUND(E8*前提条件!$B$29,0)</f>
        <v>621775</v>
      </c>
      <c r="F11" s="12" t="n">
        <f aca="false">ROUND(F8*前提条件!$B$29,0)</f>
        <v>621775</v>
      </c>
      <c r="G11" s="12" t="n">
        <f aca="false">ROUND(G8*前提条件!$B$29,0)</f>
        <v>621775</v>
      </c>
      <c r="H11" s="12" t="n">
        <f aca="false">ROUND(H8*前提条件!$B$29,0)</f>
        <v>719950</v>
      </c>
      <c r="I11" s="12" t="n">
        <f aca="false">ROUND(I8*前提条件!$B$29,0)</f>
        <v>556325</v>
      </c>
      <c r="J11" s="12" t="n">
        <f aca="false">ROUND(J8*前提条件!$B$29,0)</f>
        <v>556325</v>
      </c>
      <c r="K11" s="12" t="n">
        <f aca="false">ROUND(K8*前提条件!$B$29,0)</f>
        <v>654500</v>
      </c>
      <c r="L11" s="12" t="n">
        <f aca="false">ROUND(L8*前提条件!$B$29,0)</f>
        <v>621775</v>
      </c>
      <c r="M11" s="12" t="n">
        <f aca="false">ROUND(M8*前提条件!$B$29,0)</f>
        <v>687225</v>
      </c>
      <c r="N11" s="12" t="n">
        <f aca="false">ROUND(N8*前提条件!$B$29,0)</f>
        <v>589050</v>
      </c>
      <c r="O11" s="12" t="n">
        <f aca="false">ROUND(O8*前提条件!$B$29,0)</f>
        <v>719950</v>
      </c>
      <c r="P11" s="12" t="n">
        <f aca="false">ROUND(P8*前提条件!$B$29,0)</f>
        <v>785400</v>
      </c>
      <c r="Q11" s="12" t="n">
        <f aca="false">ROUND(Q8*前提条件!$B$29,0)</f>
        <v>621775</v>
      </c>
      <c r="R11" s="12" t="n">
        <f aca="false">ROUND(R8*前提条件!$B$29,0)</f>
        <v>621775</v>
      </c>
      <c r="S11" s="12" t="n">
        <f aca="false">ROUND(S8*前提条件!$B$29,0)</f>
        <v>621775</v>
      </c>
      <c r="T11" s="12" t="n">
        <f aca="false">ROUND(T8*前提条件!$B$29,0)</f>
        <v>719950</v>
      </c>
      <c r="U11" s="12" t="n">
        <f aca="false">ROUND(U8*前提条件!$B$29,0)</f>
        <v>556325</v>
      </c>
      <c r="V11" s="12" t="n">
        <f aca="false">ROUND(V8*前提条件!$B$29,0)</f>
        <v>556325</v>
      </c>
      <c r="W11" s="12" t="n">
        <f aca="false">ROUND(W8*前提条件!$B$29,0)</f>
        <v>654500</v>
      </c>
      <c r="X11" s="12" t="n">
        <f aca="false">ROUND(X8*前提条件!$B$29,0)</f>
        <v>621775</v>
      </c>
      <c r="Y11" s="12" t="n">
        <f aca="false">ROUND(Y8*前提条件!$B$29,0)</f>
        <v>687225</v>
      </c>
      <c r="Z11" s="12" t="n">
        <f aca="false">ROUND(Z8*前提条件!$B$29,0)</f>
        <v>589050</v>
      </c>
      <c r="AA11" s="13" t="n">
        <f aca="false">SUM(C11:N11)</f>
        <v>7978028</v>
      </c>
      <c r="AB11" s="13" t="n">
        <f aca="false">SUM(O11:Z11)</f>
        <v>7755825</v>
      </c>
    </row>
    <row r="12" customFormat="false" ht="15" hidden="false" customHeight="false" outlineLevel="0" collapsed="false">
      <c r="A12" s="4" t="s">
        <v>37</v>
      </c>
      <c r="C12" s="12" t="n">
        <f aca="false">IF(C$3&gt;=前提条件!$B$23,前提条件!$B$34,0)</f>
        <v>1800000</v>
      </c>
      <c r="D12" s="12" t="n">
        <f aca="false">IF(D$3&gt;=前提条件!$B$23,前提条件!$B$34,0)</f>
        <v>1800000</v>
      </c>
      <c r="E12" s="12" t="n">
        <f aca="false">IF(E$3&gt;=前提条件!$B$23,前提条件!$B$34,0)</f>
        <v>1800000</v>
      </c>
      <c r="F12" s="12" t="n">
        <f aca="false">IF(F$3&gt;=前提条件!$B$23,前提条件!$B$34,0)</f>
        <v>1800000</v>
      </c>
      <c r="G12" s="12" t="n">
        <f aca="false">IF(G$3&gt;=前提条件!$B$23,前提条件!$B$34,0)</f>
        <v>1800000</v>
      </c>
      <c r="H12" s="12" t="n">
        <f aca="false">IF(H$3&gt;=前提条件!$B$23,前提条件!$B$34,0)</f>
        <v>1800000</v>
      </c>
      <c r="I12" s="12" t="n">
        <f aca="false">IF(I$3&gt;=前提条件!$B$23,前提条件!$B$34,0)</f>
        <v>1800000</v>
      </c>
      <c r="J12" s="12" t="n">
        <f aca="false">IF(J$3&gt;=前提条件!$B$23,前提条件!$B$34,0)</f>
        <v>1800000</v>
      </c>
      <c r="K12" s="12" t="n">
        <f aca="false">IF(K$3&gt;=前提条件!$B$23,前提条件!$B$34,0)</f>
        <v>1800000</v>
      </c>
      <c r="L12" s="12" t="n">
        <f aca="false">IF(L$3&gt;=前提条件!$B$23,前提条件!$B$34,0)</f>
        <v>1800000</v>
      </c>
      <c r="M12" s="12" t="n">
        <f aca="false">IF(M$3&gt;=前提条件!$B$23,前提条件!$B$34,0)</f>
        <v>1800000</v>
      </c>
      <c r="N12" s="12" t="n">
        <f aca="false">IF(N$3&gt;=前提条件!$B$23,前提条件!$B$34,0)</f>
        <v>1800000</v>
      </c>
      <c r="O12" s="12" t="n">
        <f aca="false">IF(O$3&gt;=前提条件!$B$23,前提条件!$B$34,0)</f>
        <v>1800000</v>
      </c>
      <c r="P12" s="12" t="n">
        <f aca="false">IF(P$3&gt;=前提条件!$B$23,前提条件!$B$34,0)</f>
        <v>1800000</v>
      </c>
      <c r="Q12" s="12" t="n">
        <f aca="false">IF(Q$3&gt;=前提条件!$B$23,前提条件!$B$34,0)</f>
        <v>1800000</v>
      </c>
      <c r="R12" s="12" t="n">
        <f aca="false">IF(R$3&gt;=前提条件!$B$23,前提条件!$B$34,0)</f>
        <v>1800000</v>
      </c>
      <c r="S12" s="12" t="n">
        <f aca="false">IF(S$3&gt;=前提条件!$B$23,前提条件!$B$34,0)</f>
        <v>1800000</v>
      </c>
      <c r="T12" s="12" t="n">
        <f aca="false">IF(T$3&gt;=前提条件!$B$23,前提条件!$B$34,0)</f>
        <v>1800000</v>
      </c>
      <c r="U12" s="12" t="n">
        <f aca="false">IF(U$3&gt;=前提条件!$B$23,前提条件!$B$34,0)</f>
        <v>1800000</v>
      </c>
      <c r="V12" s="12" t="n">
        <f aca="false">IF(V$3&gt;=前提条件!$B$23,前提条件!$B$34,0)</f>
        <v>1800000</v>
      </c>
      <c r="W12" s="12" t="n">
        <f aca="false">IF(W$3&gt;=前提条件!$B$23,前提条件!$B$34,0)</f>
        <v>1800000</v>
      </c>
      <c r="X12" s="12" t="n">
        <f aca="false">IF(X$3&gt;=前提条件!$B$23,前提条件!$B$34,0)</f>
        <v>1800000</v>
      </c>
      <c r="Y12" s="12" t="n">
        <f aca="false">IF(Y$3&gt;=前提条件!$B$23,前提条件!$B$34,0)</f>
        <v>1800000</v>
      </c>
      <c r="Z12" s="12" t="n">
        <f aca="false">IF(Z$3&gt;=前提条件!$B$23,前提条件!$B$34,0)</f>
        <v>1800000</v>
      </c>
      <c r="AA12" s="13" t="n">
        <f aca="false">SUM(C12:N12)</f>
        <v>21600000</v>
      </c>
      <c r="AB12" s="13" t="n">
        <f aca="false">SUM(O12:Z12)</f>
        <v>21600000</v>
      </c>
    </row>
    <row r="13" customFormat="false" ht="15" hidden="false" customHeight="false" outlineLevel="0" collapsed="false">
      <c r="A13" s="4" t="s">
        <v>38</v>
      </c>
      <c r="C13" s="12" t="n">
        <f aca="false">IF(C$3&gt;=前提条件!$B$23,前提条件!$B$35,0)</f>
        <v>1800000</v>
      </c>
      <c r="D13" s="12" t="n">
        <f aca="false">IF(D$3&gt;=前提条件!$B$23,前提条件!$B$35,0)</f>
        <v>1800000</v>
      </c>
      <c r="E13" s="12" t="n">
        <f aca="false">IF(E$3&gt;=前提条件!$B$23,前提条件!$B$35,0)</f>
        <v>1800000</v>
      </c>
      <c r="F13" s="12" t="n">
        <f aca="false">IF(F$3&gt;=前提条件!$B$23,前提条件!$B$35,0)</f>
        <v>1800000</v>
      </c>
      <c r="G13" s="12" t="n">
        <f aca="false">IF(G$3&gt;=前提条件!$B$23,前提条件!$B$35,0)</f>
        <v>1800000</v>
      </c>
      <c r="H13" s="12" t="n">
        <f aca="false">IF(H$3&gt;=前提条件!$B$23,前提条件!$B$35,0)</f>
        <v>1800000</v>
      </c>
      <c r="I13" s="12" t="n">
        <f aca="false">IF(I$3&gt;=前提条件!$B$23,前提条件!$B$35,0)</f>
        <v>1800000</v>
      </c>
      <c r="J13" s="12" t="n">
        <f aca="false">IF(J$3&gt;=前提条件!$B$23,前提条件!$B$35,0)</f>
        <v>1800000</v>
      </c>
      <c r="K13" s="12" t="n">
        <f aca="false">IF(K$3&gt;=前提条件!$B$23,前提条件!$B$35,0)</f>
        <v>1800000</v>
      </c>
      <c r="L13" s="12" t="n">
        <f aca="false">IF(L$3&gt;=前提条件!$B$23,前提条件!$B$35,0)</f>
        <v>1800000</v>
      </c>
      <c r="M13" s="12" t="n">
        <f aca="false">IF(M$3&gt;=前提条件!$B$23,前提条件!$B$35,0)</f>
        <v>1800000</v>
      </c>
      <c r="N13" s="12" t="n">
        <f aca="false">IF(N$3&gt;=前提条件!$B$23,前提条件!$B$35,0)</f>
        <v>1800000</v>
      </c>
      <c r="O13" s="12" t="n">
        <f aca="false">IF(O$3&gt;=前提条件!$B$23,前提条件!$B$35,0)</f>
        <v>1800000</v>
      </c>
      <c r="P13" s="12" t="n">
        <f aca="false">IF(P$3&gt;=前提条件!$B$23,前提条件!$B$35,0)</f>
        <v>1800000</v>
      </c>
      <c r="Q13" s="12" t="n">
        <f aca="false">IF(Q$3&gt;=前提条件!$B$23,前提条件!$B$35,0)</f>
        <v>1800000</v>
      </c>
      <c r="R13" s="12" t="n">
        <f aca="false">IF(R$3&gt;=前提条件!$B$23,前提条件!$B$35,0)</f>
        <v>1800000</v>
      </c>
      <c r="S13" s="12" t="n">
        <f aca="false">IF(S$3&gt;=前提条件!$B$23,前提条件!$B$35,0)</f>
        <v>1800000</v>
      </c>
      <c r="T13" s="12" t="n">
        <f aca="false">IF(T$3&gt;=前提条件!$B$23,前提条件!$B$35,0)</f>
        <v>1800000</v>
      </c>
      <c r="U13" s="12" t="n">
        <f aca="false">IF(U$3&gt;=前提条件!$B$23,前提条件!$B$35,0)</f>
        <v>1800000</v>
      </c>
      <c r="V13" s="12" t="n">
        <f aca="false">IF(V$3&gt;=前提条件!$B$23,前提条件!$B$35,0)</f>
        <v>1800000</v>
      </c>
      <c r="W13" s="12" t="n">
        <f aca="false">IF(W$3&gt;=前提条件!$B$23,前提条件!$B$35,0)</f>
        <v>1800000</v>
      </c>
      <c r="X13" s="12" t="n">
        <f aca="false">IF(X$3&gt;=前提条件!$B$23,前提条件!$B$35,0)</f>
        <v>1800000</v>
      </c>
      <c r="Y13" s="12" t="n">
        <f aca="false">IF(Y$3&gt;=前提条件!$B$23,前提条件!$B$35,0)</f>
        <v>1800000</v>
      </c>
      <c r="Z13" s="12" t="n">
        <f aca="false">IF(Z$3&gt;=前提条件!$B$23,前提条件!$B$35,0)</f>
        <v>1800000</v>
      </c>
      <c r="AA13" s="13" t="n">
        <f aca="false">SUM(C13:N13)</f>
        <v>21600000</v>
      </c>
      <c r="AB13" s="13" t="n">
        <f aca="false">SUM(O13:Z13)</f>
        <v>21600000</v>
      </c>
    </row>
    <row r="14" customFormat="false" ht="15" hidden="false" customHeight="false" outlineLevel="0" collapsed="false">
      <c r="A14" s="4" t="s">
        <v>39</v>
      </c>
      <c r="C14" s="12" t="n">
        <f aca="false">IF(C$3&gt;=前提条件!$B$23,前提条件!$B$36,0)</f>
        <v>900000</v>
      </c>
      <c r="D14" s="12" t="n">
        <f aca="false">IF(D$3&gt;=前提条件!$B$23,前提条件!$B$36,0)</f>
        <v>900000</v>
      </c>
      <c r="E14" s="12" t="n">
        <f aca="false">IF(E$3&gt;=前提条件!$B$23,前提条件!$B$36,0)</f>
        <v>900000</v>
      </c>
      <c r="F14" s="12" t="n">
        <f aca="false">IF(F$3&gt;=前提条件!$B$23,前提条件!$B$36,0)</f>
        <v>900000</v>
      </c>
      <c r="G14" s="12" t="n">
        <f aca="false">IF(G$3&gt;=前提条件!$B$23,前提条件!$B$36,0)</f>
        <v>900000</v>
      </c>
      <c r="H14" s="12" t="n">
        <f aca="false">IF(H$3&gt;=前提条件!$B$23,前提条件!$B$36,0)</f>
        <v>900000</v>
      </c>
      <c r="I14" s="12" t="n">
        <f aca="false">IF(I$3&gt;=前提条件!$B$23,前提条件!$B$36,0)</f>
        <v>900000</v>
      </c>
      <c r="J14" s="12" t="n">
        <f aca="false">IF(J$3&gt;=前提条件!$B$23,前提条件!$B$36,0)</f>
        <v>900000</v>
      </c>
      <c r="K14" s="12" t="n">
        <f aca="false">IF(K$3&gt;=前提条件!$B$23,前提条件!$B$36,0)</f>
        <v>900000</v>
      </c>
      <c r="L14" s="12" t="n">
        <f aca="false">IF(L$3&gt;=前提条件!$B$23,前提条件!$B$36,0)</f>
        <v>900000</v>
      </c>
      <c r="M14" s="12" t="n">
        <f aca="false">IF(M$3&gt;=前提条件!$B$23,前提条件!$B$36,0)</f>
        <v>900000</v>
      </c>
      <c r="N14" s="12" t="n">
        <f aca="false">IF(N$3&gt;=前提条件!$B$23,前提条件!$B$36,0)</f>
        <v>900000</v>
      </c>
      <c r="O14" s="12" t="n">
        <f aca="false">IF(O$3&gt;=前提条件!$B$23,前提条件!$B$36,0)</f>
        <v>900000</v>
      </c>
      <c r="P14" s="12" t="n">
        <f aca="false">IF(P$3&gt;=前提条件!$B$23,前提条件!$B$36,0)</f>
        <v>900000</v>
      </c>
      <c r="Q14" s="12" t="n">
        <f aca="false">IF(Q$3&gt;=前提条件!$B$23,前提条件!$B$36,0)</f>
        <v>900000</v>
      </c>
      <c r="R14" s="12" t="n">
        <f aca="false">IF(R$3&gt;=前提条件!$B$23,前提条件!$B$36,0)</f>
        <v>900000</v>
      </c>
      <c r="S14" s="12" t="n">
        <f aca="false">IF(S$3&gt;=前提条件!$B$23,前提条件!$B$36,0)</f>
        <v>900000</v>
      </c>
      <c r="T14" s="12" t="n">
        <f aca="false">IF(T$3&gt;=前提条件!$B$23,前提条件!$B$36,0)</f>
        <v>900000</v>
      </c>
      <c r="U14" s="12" t="n">
        <f aca="false">IF(U$3&gt;=前提条件!$B$23,前提条件!$B$36,0)</f>
        <v>900000</v>
      </c>
      <c r="V14" s="12" t="n">
        <f aca="false">IF(V$3&gt;=前提条件!$B$23,前提条件!$B$36,0)</f>
        <v>900000</v>
      </c>
      <c r="W14" s="12" t="n">
        <f aca="false">IF(W$3&gt;=前提条件!$B$23,前提条件!$B$36,0)</f>
        <v>900000</v>
      </c>
      <c r="X14" s="12" t="n">
        <f aca="false">IF(X$3&gt;=前提条件!$B$23,前提条件!$B$36,0)</f>
        <v>900000</v>
      </c>
      <c r="Y14" s="12" t="n">
        <f aca="false">IF(Y$3&gt;=前提条件!$B$23,前提条件!$B$36,0)</f>
        <v>900000</v>
      </c>
      <c r="Z14" s="12" t="n">
        <f aca="false">IF(Z$3&gt;=前提条件!$B$23,前提条件!$B$36,0)</f>
        <v>900000</v>
      </c>
      <c r="AA14" s="13" t="n">
        <f aca="false">SUM(C14:N14)</f>
        <v>10800000</v>
      </c>
      <c r="AB14" s="13" t="n">
        <f aca="false">SUM(O14:Z14)</f>
        <v>10800000</v>
      </c>
    </row>
    <row r="15" customFormat="false" ht="15" hidden="false" customHeight="false" outlineLevel="0" collapsed="false">
      <c r="A15" s="4" t="s">
        <v>40</v>
      </c>
      <c r="C15" s="12" t="n">
        <f aca="false">ROUND(C8*前提条件!$B$30,0)+IF(C$3&gt;=前提条件!$B$23,前提条件!$B$37,0)</f>
        <v>1090890</v>
      </c>
      <c r="D15" s="12" t="n">
        <f aca="false">ROUND(D8*前提条件!$B$30,0)+IF(D$3&gt;=前提条件!$B$23,前提条件!$B$37,0)</f>
        <v>1091152</v>
      </c>
      <c r="E15" s="12" t="n">
        <f aca="false">ROUND(E8*前提条件!$B$30,0)+IF(E$3&gt;=前提条件!$B$23,前提条件!$B$37,0)</f>
        <v>897420</v>
      </c>
      <c r="F15" s="12" t="n">
        <f aca="false">ROUND(F8*前提条件!$B$30,0)+IF(F$3&gt;=前提条件!$B$23,前提条件!$B$37,0)</f>
        <v>897420</v>
      </c>
      <c r="G15" s="12" t="n">
        <f aca="false">ROUND(G8*前提条件!$B$30,0)+IF(G$3&gt;=前提条件!$B$23,前提条件!$B$37,0)</f>
        <v>897420</v>
      </c>
      <c r="H15" s="12" t="n">
        <f aca="false">ROUND(H8*前提条件!$B$30,0)+IF(H$3&gt;=前提条件!$B$23,前提条件!$B$37,0)</f>
        <v>975960</v>
      </c>
      <c r="I15" s="12" t="n">
        <f aca="false">ROUND(I8*前提条件!$B$30,0)+IF(I$3&gt;=前提条件!$B$23,前提条件!$B$37,0)</f>
        <v>845060</v>
      </c>
      <c r="J15" s="12" t="n">
        <f aca="false">ROUND(J8*前提条件!$B$30,0)+IF(J$3&gt;=前提条件!$B$23,前提条件!$B$37,0)</f>
        <v>845060</v>
      </c>
      <c r="K15" s="12" t="n">
        <f aca="false">ROUND(K8*前提条件!$B$30,0)+IF(K$3&gt;=前提条件!$B$23,前提条件!$B$37,0)</f>
        <v>923600</v>
      </c>
      <c r="L15" s="12" t="n">
        <f aca="false">ROUND(L8*前提条件!$B$30,0)+IF(L$3&gt;=前提条件!$B$23,前提条件!$B$37,0)</f>
        <v>897420</v>
      </c>
      <c r="M15" s="12" t="n">
        <f aca="false">ROUND(M8*前提条件!$B$30,0)+IF(M$3&gt;=前提条件!$B$23,前提条件!$B$37,0)</f>
        <v>949780</v>
      </c>
      <c r="N15" s="12" t="n">
        <f aca="false">ROUND(N8*前提条件!$B$30,0)+IF(N$3&gt;=前提条件!$B$23,前提条件!$B$37,0)</f>
        <v>871240</v>
      </c>
      <c r="O15" s="12" t="n">
        <f aca="false">ROUND(O8*前提条件!$B$30,0)+IF(O$3&gt;=前提条件!$B$23,前提条件!$B$37,0)</f>
        <v>975960</v>
      </c>
      <c r="P15" s="12" t="n">
        <f aca="false">ROUND(P8*前提条件!$B$30,0)+IF(P$3&gt;=前提条件!$B$23,前提条件!$B$37,0)</f>
        <v>1028320</v>
      </c>
      <c r="Q15" s="12" t="n">
        <f aca="false">ROUND(Q8*前提条件!$B$30,0)+IF(Q$3&gt;=前提条件!$B$23,前提条件!$B$37,0)</f>
        <v>897420</v>
      </c>
      <c r="R15" s="12" t="n">
        <f aca="false">ROUND(R8*前提条件!$B$30,0)+IF(R$3&gt;=前提条件!$B$23,前提条件!$B$37,0)</f>
        <v>897420</v>
      </c>
      <c r="S15" s="12" t="n">
        <f aca="false">ROUND(S8*前提条件!$B$30,0)+IF(S$3&gt;=前提条件!$B$23,前提条件!$B$37,0)</f>
        <v>897420</v>
      </c>
      <c r="T15" s="12" t="n">
        <f aca="false">ROUND(T8*前提条件!$B$30,0)+IF(T$3&gt;=前提条件!$B$23,前提条件!$B$37,0)</f>
        <v>975960</v>
      </c>
      <c r="U15" s="12" t="n">
        <f aca="false">ROUND(U8*前提条件!$B$30,0)+IF(U$3&gt;=前提条件!$B$23,前提条件!$B$37,0)</f>
        <v>845060</v>
      </c>
      <c r="V15" s="12" t="n">
        <f aca="false">ROUND(V8*前提条件!$B$30,0)+IF(V$3&gt;=前提条件!$B$23,前提条件!$B$37,0)</f>
        <v>845060</v>
      </c>
      <c r="W15" s="12" t="n">
        <f aca="false">ROUND(W8*前提条件!$B$30,0)+IF(W$3&gt;=前提条件!$B$23,前提条件!$B$37,0)</f>
        <v>923600</v>
      </c>
      <c r="X15" s="12" t="n">
        <f aca="false">ROUND(X8*前提条件!$B$30,0)+IF(X$3&gt;=前提条件!$B$23,前提条件!$B$37,0)</f>
        <v>897420</v>
      </c>
      <c r="Y15" s="12" t="n">
        <f aca="false">ROUND(Y8*前提条件!$B$30,0)+IF(Y$3&gt;=前提条件!$B$23,前提条件!$B$37,0)</f>
        <v>949780</v>
      </c>
      <c r="Z15" s="12" t="n">
        <f aca="false">ROUND(Z8*前提条件!$B$30,0)+IF(Z$3&gt;=前提条件!$B$23,前提条件!$B$37,0)</f>
        <v>871240</v>
      </c>
      <c r="AA15" s="13" t="n">
        <f aca="false">SUM(C15:N15)</f>
        <v>11182422</v>
      </c>
      <c r="AB15" s="13" t="n">
        <f aca="false">SUM(O15:Z15)</f>
        <v>11004660</v>
      </c>
    </row>
    <row r="16" customFormat="false" ht="15" hidden="false" customHeight="false" outlineLevel="0" collapsed="false">
      <c r="A16" s="4" t="s">
        <v>41</v>
      </c>
      <c r="C16" s="12" t="n">
        <f aca="false">IF(C$3&gt;=前提条件!$B$23,ROUND(前提条件!$B$38/(前提条件!$B$39*12),0),0)</f>
        <v>500000</v>
      </c>
      <c r="D16" s="12" t="n">
        <f aca="false">IF(D$3&gt;=前提条件!$B$23,ROUND(前提条件!$B$38/(前提条件!$B$39*12),0),0)</f>
        <v>500000</v>
      </c>
      <c r="E16" s="12" t="n">
        <f aca="false">IF(E$3&gt;=前提条件!$B$23,ROUND(前提条件!$B$38/(前提条件!$B$39*12),0),0)</f>
        <v>500000</v>
      </c>
      <c r="F16" s="12" t="n">
        <f aca="false">IF(F$3&gt;=前提条件!$B$23,ROUND(前提条件!$B$38/(前提条件!$B$39*12),0),0)</f>
        <v>500000</v>
      </c>
      <c r="G16" s="12" t="n">
        <f aca="false">IF(G$3&gt;=前提条件!$B$23,ROUND(前提条件!$B$38/(前提条件!$B$39*12),0),0)</f>
        <v>500000</v>
      </c>
      <c r="H16" s="12" t="n">
        <f aca="false">IF(H$3&gt;=前提条件!$B$23,ROUND(前提条件!$B$38/(前提条件!$B$39*12),0),0)</f>
        <v>500000</v>
      </c>
      <c r="I16" s="12" t="n">
        <f aca="false">IF(I$3&gt;=前提条件!$B$23,ROUND(前提条件!$B$38/(前提条件!$B$39*12),0),0)</f>
        <v>500000</v>
      </c>
      <c r="J16" s="12" t="n">
        <f aca="false">IF(J$3&gt;=前提条件!$B$23,ROUND(前提条件!$B$38/(前提条件!$B$39*12),0),0)</f>
        <v>500000</v>
      </c>
      <c r="K16" s="12" t="n">
        <f aca="false">IF(K$3&gt;=前提条件!$B$23,ROUND(前提条件!$B$38/(前提条件!$B$39*12),0),0)</f>
        <v>500000</v>
      </c>
      <c r="L16" s="12" t="n">
        <f aca="false">IF(L$3&gt;=前提条件!$B$23,ROUND(前提条件!$B$38/(前提条件!$B$39*12),0),0)</f>
        <v>500000</v>
      </c>
      <c r="M16" s="12" t="n">
        <f aca="false">IF(M$3&gt;=前提条件!$B$23,ROUND(前提条件!$B$38/(前提条件!$B$39*12),0),0)</f>
        <v>500000</v>
      </c>
      <c r="N16" s="12" t="n">
        <f aca="false">IF(N$3&gt;=前提条件!$B$23,ROUND(前提条件!$B$38/(前提条件!$B$39*12),0),0)</f>
        <v>500000</v>
      </c>
      <c r="O16" s="12" t="n">
        <f aca="false">IF(O$3&gt;=前提条件!$B$23,ROUND(前提条件!$B$38/(前提条件!$B$39*12),0),0)</f>
        <v>500000</v>
      </c>
      <c r="P16" s="12" t="n">
        <f aca="false">IF(P$3&gt;=前提条件!$B$23,ROUND(前提条件!$B$38/(前提条件!$B$39*12),0),0)</f>
        <v>500000</v>
      </c>
      <c r="Q16" s="12" t="n">
        <f aca="false">IF(Q$3&gt;=前提条件!$B$23,ROUND(前提条件!$B$38/(前提条件!$B$39*12),0),0)</f>
        <v>500000</v>
      </c>
      <c r="R16" s="12" t="n">
        <f aca="false">IF(R$3&gt;=前提条件!$B$23,ROUND(前提条件!$B$38/(前提条件!$B$39*12),0),0)</f>
        <v>500000</v>
      </c>
      <c r="S16" s="12" t="n">
        <f aca="false">IF(S$3&gt;=前提条件!$B$23,ROUND(前提条件!$B$38/(前提条件!$B$39*12),0),0)</f>
        <v>500000</v>
      </c>
      <c r="T16" s="12" t="n">
        <f aca="false">IF(T$3&gt;=前提条件!$B$23,ROUND(前提条件!$B$38/(前提条件!$B$39*12),0),0)</f>
        <v>500000</v>
      </c>
      <c r="U16" s="12" t="n">
        <f aca="false">IF(U$3&gt;=前提条件!$B$23,ROUND(前提条件!$B$38/(前提条件!$B$39*12),0),0)</f>
        <v>500000</v>
      </c>
      <c r="V16" s="12" t="n">
        <f aca="false">IF(V$3&gt;=前提条件!$B$23,ROUND(前提条件!$B$38/(前提条件!$B$39*12),0),0)</f>
        <v>500000</v>
      </c>
      <c r="W16" s="12" t="n">
        <f aca="false">IF(W$3&gt;=前提条件!$B$23,ROUND(前提条件!$B$38/(前提条件!$B$39*12),0),0)</f>
        <v>500000</v>
      </c>
      <c r="X16" s="12" t="n">
        <f aca="false">IF(X$3&gt;=前提条件!$B$23,ROUND(前提条件!$B$38/(前提条件!$B$39*12),0),0)</f>
        <v>500000</v>
      </c>
      <c r="Y16" s="12" t="n">
        <f aca="false">IF(Y$3&gt;=前提条件!$B$23,ROUND(前提条件!$B$38/(前提条件!$B$39*12),0),0)</f>
        <v>500000</v>
      </c>
      <c r="Z16" s="12" t="n">
        <f aca="false">IF(Z$3&gt;=前提条件!$B$23,ROUND(前提条件!$B$38/(前提条件!$B$39*12),0),0)</f>
        <v>500000</v>
      </c>
      <c r="AA16" s="13" t="n">
        <f aca="false">SUM(C16:N16)</f>
        <v>6000000</v>
      </c>
      <c r="AB16" s="13" t="n">
        <f aca="false">SUM(O16:Z16)</f>
        <v>6000000</v>
      </c>
    </row>
    <row r="17" customFormat="false" ht="15" hidden="false" customHeight="false" outlineLevel="0" collapsed="false">
      <c r="A17" s="7" t="s">
        <v>42</v>
      </c>
      <c r="C17" s="12" t="n">
        <f aca="false">C10-SUM(C11:C16)</f>
        <v>2545239</v>
      </c>
      <c r="D17" s="12" t="n">
        <f aca="false">D10-SUM(D11:D16)</f>
        <v>2548248</v>
      </c>
      <c r="E17" s="12" t="n">
        <f aca="false">E10-SUM(E11:E16)</f>
        <v>320330</v>
      </c>
      <c r="F17" s="12" t="n">
        <f aca="false">F10-SUM(F11:F16)</f>
        <v>320330</v>
      </c>
      <c r="G17" s="12" t="n">
        <f aca="false">G10-SUM(G11:G16)</f>
        <v>320330</v>
      </c>
      <c r="H17" s="12" t="n">
        <f aca="false">H10-SUM(H11:H16)</f>
        <v>1223540</v>
      </c>
      <c r="I17" s="12" t="n">
        <f aca="false">I10-SUM(I11:I16)</f>
        <v>-281810</v>
      </c>
      <c r="J17" s="12" t="n">
        <f aca="false">J10-SUM(J11:J16)</f>
        <v>-281810</v>
      </c>
      <c r="K17" s="12" t="n">
        <f aca="false">K10-SUM(K11:K16)</f>
        <v>621400</v>
      </c>
      <c r="L17" s="12" t="n">
        <f aca="false">L10-SUM(L11:L16)</f>
        <v>320330</v>
      </c>
      <c r="M17" s="12" t="n">
        <f aca="false">M10-SUM(M11:M16)</f>
        <v>922470</v>
      </c>
      <c r="N17" s="12" t="n">
        <f aca="false">N10-SUM(N11:N16)</f>
        <v>19260</v>
      </c>
      <c r="O17" s="12" t="n">
        <f aca="false">O10-SUM(O11:O16)</f>
        <v>1223540</v>
      </c>
      <c r="P17" s="12" t="n">
        <f aca="false">P10-SUM(P11:P16)</f>
        <v>1825680</v>
      </c>
      <c r="Q17" s="12" t="n">
        <f aca="false">Q10-SUM(Q11:Q16)</f>
        <v>320330</v>
      </c>
      <c r="R17" s="12" t="n">
        <f aca="false">R10-SUM(R11:R16)</f>
        <v>320330</v>
      </c>
      <c r="S17" s="12" t="n">
        <f aca="false">S10-SUM(S11:S16)</f>
        <v>320330</v>
      </c>
      <c r="T17" s="12" t="n">
        <f aca="false">T10-SUM(T11:T16)</f>
        <v>1223540</v>
      </c>
      <c r="U17" s="12" t="n">
        <f aca="false">U10-SUM(U11:U16)</f>
        <v>-281810</v>
      </c>
      <c r="V17" s="12" t="n">
        <f aca="false">V10-SUM(V11:V16)</f>
        <v>-281810</v>
      </c>
      <c r="W17" s="12" t="n">
        <f aca="false">W10-SUM(W11:W16)</f>
        <v>621400</v>
      </c>
      <c r="X17" s="12" t="n">
        <f aca="false">X10-SUM(X11:X16)</f>
        <v>320330</v>
      </c>
      <c r="Y17" s="12" t="n">
        <f aca="false">Y10-SUM(Y11:Y16)</f>
        <v>922470</v>
      </c>
      <c r="Z17" s="12" t="n">
        <f aca="false">Z10-SUM(Z11:Z16)</f>
        <v>19260</v>
      </c>
      <c r="AA17" s="13" t="n">
        <f aca="false">SUM(C17:N17)</f>
        <v>8597857</v>
      </c>
      <c r="AB17" s="13" t="n">
        <f aca="false">SUM(O17:Z17)</f>
        <v>6553590</v>
      </c>
    </row>
    <row r="18" customFormat="false" ht="15" hidden="false" customHeight="false" outlineLevel="0" collapsed="false">
      <c r="A18" s="4" t="s">
        <v>43</v>
      </c>
      <c r="C18" s="14" t="n">
        <f aca="false">IF(C8=0,0,C17/C8)</f>
        <v>0.147359945642313</v>
      </c>
      <c r="D18" s="14" t="n">
        <f aca="false">IF(D8=0,0,D17/D8)</f>
        <v>0.147478297103966</v>
      </c>
      <c r="E18" s="14" t="n">
        <f aca="false">IF(E8=0,0,E17/E8)</f>
        <v>0.0257593180812995</v>
      </c>
      <c r="F18" s="14" t="n">
        <f aca="false">IF(F8=0,0,F17/F8)</f>
        <v>0.0257593180812995</v>
      </c>
      <c r="G18" s="14" t="n">
        <f aca="false">IF(G8=0,0,G17/G8)</f>
        <v>0.0257593180812995</v>
      </c>
      <c r="H18" s="14" t="n">
        <f aca="false">IF(H8=0,0,H17/H8)</f>
        <v>0.0849739565247587</v>
      </c>
      <c r="I18" s="14" t="n">
        <f aca="false">IF(I8=0,0,I17/I8)</f>
        <v>-0.0253278209679594</v>
      </c>
      <c r="J18" s="14" t="n">
        <f aca="false">IF(J8=0,0,J17/J8)</f>
        <v>-0.0253278209679594</v>
      </c>
      <c r="K18" s="14" t="n">
        <f aca="false">IF(K8=0,0,K17/K8)</f>
        <v>0.0474713521772345</v>
      </c>
      <c r="L18" s="14" t="n">
        <f aca="false">IF(L8=0,0,L17/L8)</f>
        <v>0.0257593180812995</v>
      </c>
      <c r="M18" s="14" t="n">
        <f aca="false">IF(M8=0,0,M17/M8)</f>
        <v>0.0671155735021281</v>
      </c>
      <c r="N18" s="14" t="n">
        <f aca="false">IF(N8=0,0,N17/N8)</f>
        <v>0.00163483575248281</v>
      </c>
      <c r="O18" s="14" t="n">
        <f aca="false">IF(O8=0,0,O17/O8)</f>
        <v>0.0849739565247587</v>
      </c>
      <c r="P18" s="14" t="n">
        <f aca="false">IF(P8=0,0,P17/P8)</f>
        <v>0.116226126814362</v>
      </c>
      <c r="Q18" s="14" t="n">
        <f aca="false">IF(Q8=0,0,Q17/Q8)</f>
        <v>0.0257593180812995</v>
      </c>
      <c r="R18" s="14" t="n">
        <f aca="false">IF(R8=0,0,R17/R8)</f>
        <v>0.0257593180812995</v>
      </c>
      <c r="S18" s="14" t="n">
        <f aca="false">IF(S8=0,0,S17/S8)</f>
        <v>0.0257593180812995</v>
      </c>
      <c r="T18" s="14" t="n">
        <f aca="false">IF(T8=0,0,T17/T8)</f>
        <v>0.0849739565247587</v>
      </c>
      <c r="U18" s="14" t="n">
        <f aca="false">IF(U8=0,0,U17/U8)</f>
        <v>-0.0253278209679594</v>
      </c>
      <c r="V18" s="14" t="n">
        <f aca="false">IF(V8=0,0,V17/V8)</f>
        <v>-0.0253278209679594</v>
      </c>
      <c r="W18" s="14" t="n">
        <f aca="false">IF(W8=0,0,W17/W8)</f>
        <v>0.0474713521772345</v>
      </c>
      <c r="X18" s="14" t="n">
        <f aca="false">IF(X8=0,0,X17/X8)</f>
        <v>0.0257593180812995</v>
      </c>
      <c r="Y18" s="14" t="n">
        <f aca="false">IF(Y8=0,0,Y17/Y8)</f>
        <v>0.0671155735021281</v>
      </c>
      <c r="Z18" s="14" t="n">
        <f aca="false">IF(Z8=0,0,Z17/Z8)</f>
        <v>0.00163483575248281</v>
      </c>
      <c r="AA18" s="26" t="n">
        <f aca="false">IF(AA8=0,0,AA17/AA8)</f>
        <v>0.0538846009801495</v>
      </c>
      <c r="AB18" s="26" t="n">
        <f aca="false">IF(AB8=0,0,AB17/AB8)</f>
        <v>0.0422494705592248</v>
      </c>
    </row>
    <row r="20" customFormat="false" ht="15" hidden="false" customHeight="false" outlineLevel="0" collapsed="false">
      <c r="A20" s="3" t="s">
        <v>147</v>
      </c>
      <c r="B20" s="2" t="s">
        <v>148</v>
      </c>
    </row>
    <row r="21" customFormat="false" ht="15" hidden="false" customHeight="false" outlineLevel="0" collapsed="false">
      <c r="A21" s="7" t="s">
        <v>33</v>
      </c>
      <c r="C21" s="12" t="n">
        <f aca="false">IF(C$3&lt;前提条件!$B$24,0,ROUND(前提条件!$B$10*前提条件!$B$14*IF(C$3-前提条件!$B$24+1=1,前提条件!$B$18,IF(C$3-前提条件!$B$24+1=2,前提条件!$B$19,前提条件!$B$20))*INDEX(前提条件!$B$8:$M$8,C$5),0))</f>
        <v>0</v>
      </c>
      <c r="D21" s="12" t="n">
        <f aca="false">IF(D$3&lt;前提条件!$B$24,0,ROUND(前提条件!$B$10*前提条件!$B$14*IF(D$3-前提条件!$B$24+1=1,前提条件!$B$18,IF(D$3-前提条件!$B$24+1=2,前提条件!$B$19,前提条件!$B$20))*INDEX(前提条件!$B$8:$M$8,D$5),0))</f>
        <v>0</v>
      </c>
      <c r="E21" s="12" t="n">
        <f aca="false">IF(E$3&lt;前提条件!$B$24,0,ROUND(前提条件!$B$10*前提条件!$B$14*IF(E$3-前提条件!$B$24+1=1,前提条件!$B$18,IF(E$3-前提条件!$B$24+1=2,前提条件!$B$19,前提条件!$B$20))*INDEX(前提条件!$B$8:$M$8,E$5),0))</f>
        <v>0</v>
      </c>
      <c r="F21" s="12" t="n">
        <f aca="false">IF(F$3&lt;前提条件!$B$24,0,ROUND(前提条件!$B$10*前提条件!$B$14*IF(F$3-前提条件!$B$24+1=1,前提条件!$B$18,IF(F$3-前提条件!$B$24+1=2,前提条件!$B$19,前提条件!$B$20))*INDEX(前提条件!$B$8:$M$8,F$5),0))</f>
        <v>0</v>
      </c>
      <c r="G21" s="12" t="n">
        <f aca="false">IF(G$3&lt;前提条件!$B$24,0,ROUND(前提条件!$B$10*前提条件!$B$14*IF(G$3-前提条件!$B$24+1=1,前提条件!$B$18,IF(G$3-前提条件!$B$24+1=2,前提条件!$B$19,前提条件!$B$20))*INDEX(前提条件!$B$8:$M$8,G$5),0))</f>
        <v>16912280</v>
      </c>
      <c r="H21" s="12" t="n">
        <f aca="false">IF(H$3&lt;前提条件!$B$24,0,ROUND(前提条件!$B$10*前提条件!$B$14*IF(H$3-前提条件!$B$24+1=1,前提条件!$B$18,IF(H$3-前提条件!$B$24+1=2,前提条件!$B$19,前提条件!$B$20))*INDEX(前提条件!$B$8:$M$8,H$5),0))</f>
        <v>13463065</v>
      </c>
      <c r="I21" s="12" t="n">
        <f aca="false">IF(I$3&lt;前提条件!$B$24,0,ROUND(前提条件!$B$10*前提条件!$B$14*IF(I$3-前提条件!$B$24+1=1,前提条件!$B$18,IF(I$3-前提条件!$B$24+1=2,前提条件!$B$19,前提条件!$B$20))*INDEX(前提条件!$B$8:$M$8,I$5),0))</f>
        <v>9457525</v>
      </c>
      <c r="J21" s="12" t="n">
        <f aca="false">IF(J$3&lt;前提条件!$B$24,0,ROUND(前提条件!$B$10*前提条件!$B$14*IF(J$3-前提条件!$B$24+1=1,前提条件!$B$18,IF(J$3-前提条件!$B$24+1=2,前提条件!$B$19,前提条件!$B$20))*INDEX(前提条件!$B$8:$M$8,J$5),0))</f>
        <v>9457525</v>
      </c>
      <c r="K21" s="12" t="n">
        <f aca="false">IF(K$3&lt;前提条件!$B$24,0,ROUND(前提条件!$B$10*前提条件!$B$14*IF(K$3-前提条件!$B$24+1=1,前提条件!$B$18,IF(K$3-前提条件!$B$24+1=2,前提条件!$B$19,前提条件!$B$20))*INDEX(前提条件!$B$8:$M$8,K$5),0))</f>
        <v>11126500</v>
      </c>
      <c r="L21" s="12" t="n">
        <f aca="false">IF(L$3&lt;前提条件!$B$24,0,ROUND(前提条件!$B$10*前提条件!$B$14*IF(L$3-前提条件!$B$24+1=1,前提条件!$B$18,IF(L$3-前提条件!$B$24+1=2,前提条件!$B$19,前提条件!$B$20))*INDEX(前提条件!$B$8:$M$8,L$5),0))</f>
        <v>10570175</v>
      </c>
      <c r="M21" s="12" t="n">
        <f aca="false">IF(M$3&lt;前提条件!$B$24,0,ROUND(前提条件!$B$10*前提条件!$B$14*IF(M$3-前提条件!$B$24+1=1,前提条件!$B$18,IF(M$3-前提条件!$B$24+1=2,前提条件!$B$19,前提条件!$B$20))*INDEX(前提条件!$B$8:$M$8,M$5),0))</f>
        <v>11682825</v>
      </c>
      <c r="N21" s="12" t="n">
        <f aca="false">IF(N$3&lt;前提条件!$B$24,0,ROUND(前提条件!$B$10*前提条件!$B$14*IF(N$3-前提条件!$B$24+1=1,前提条件!$B$18,IF(N$3-前提条件!$B$24+1=2,前提条件!$B$19,前提条件!$B$20))*INDEX(前提条件!$B$8:$M$8,N$5),0))</f>
        <v>10013850</v>
      </c>
      <c r="O21" s="12" t="n">
        <f aca="false">IF(O$3&lt;前提条件!$B$24,0,ROUND(前提条件!$B$10*前提条件!$B$14*IF(O$3-前提条件!$B$24+1=1,前提条件!$B$18,IF(O$3-前提条件!$B$24+1=2,前提条件!$B$19,前提条件!$B$20))*INDEX(前提条件!$B$8:$M$8,O$5),0))</f>
        <v>12239150</v>
      </c>
      <c r="P21" s="12" t="n">
        <f aca="false">IF(P$3&lt;前提条件!$B$24,0,ROUND(前提条件!$B$10*前提条件!$B$14*IF(P$3-前提条件!$B$24+1=1,前提条件!$B$18,IF(P$3-前提条件!$B$24+1=2,前提条件!$B$19,前提条件!$B$20))*INDEX(前提条件!$B$8:$M$8,P$5),0))</f>
        <v>13351800</v>
      </c>
      <c r="Q21" s="12" t="n">
        <f aca="false">IF(Q$3&lt;前提条件!$B$24,0,ROUND(前提条件!$B$10*前提条件!$B$14*IF(Q$3-前提条件!$B$24+1=1,前提条件!$B$18,IF(Q$3-前提条件!$B$24+1=2,前提条件!$B$19,前提条件!$B$20))*INDEX(前提条件!$B$8:$M$8,Q$5),0))</f>
        <v>10570175</v>
      </c>
      <c r="R21" s="12" t="n">
        <f aca="false">IF(R$3&lt;前提条件!$B$24,0,ROUND(前提条件!$B$10*前提条件!$B$14*IF(R$3-前提条件!$B$24+1=1,前提条件!$B$18,IF(R$3-前提条件!$B$24+1=2,前提条件!$B$19,前提条件!$B$20))*INDEX(前提条件!$B$8:$M$8,R$5),0))</f>
        <v>10570175</v>
      </c>
      <c r="S21" s="12" t="n">
        <f aca="false">IF(S$3&lt;前提条件!$B$24,0,ROUND(前提条件!$B$10*前提条件!$B$14*IF(S$3-前提条件!$B$24+1=1,前提条件!$B$18,IF(S$3-前提条件!$B$24+1=2,前提条件!$B$19,前提条件!$B$20))*INDEX(前提条件!$B$8:$M$8,S$5),0))</f>
        <v>10570175</v>
      </c>
      <c r="T21" s="12" t="n">
        <f aca="false">IF(T$3&lt;前提条件!$B$24,0,ROUND(前提条件!$B$10*前提条件!$B$14*IF(T$3-前提条件!$B$24+1=1,前提条件!$B$18,IF(T$3-前提条件!$B$24+1=2,前提条件!$B$19,前提条件!$B$20))*INDEX(前提条件!$B$8:$M$8,T$5),0))</f>
        <v>12239150</v>
      </c>
      <c r="U21" s="12" t="n">
        <f aca="false">IF(U$3&lt;前提条件!$B$24,0,ROUND(前提条件!$B$10*前提条件!$B$14*IF(U$3-前提条件!$B$24+1=1,前提条件!$B$18,IF(U$3-前提条件!$B$24+1=2,前提条件!$B$19,前提条件!$B$20))*INDEX(前提条件!$B$8:$M$8,U$5),0))</f>
        <v>9457525</v>
      </c>
      <c r="V21" s="12" t="n">
        <f aca="false">IF(V$3&lt;前提条件!$B$24,0,ROUND(前提条件!$B$10*前提条件!$B$14*IF(V$3-前提条件!$B$24+1=1,前提条件!$B$18,IF(V$3-前提条件!$B$24+1=2,前提条件!$B$19,前提条件!$B$20))*INDEX(前提条件!$B$8:$M$8,V$5),0))</f>
        <v>9457525</v>
      </c>
      <c r="W21" s="12" t="n">
        <f aca="false">IF(W$3&lt;前提条件!$B$24,0,ROUND(前提条件!$B$10*前提条件!$B$14*IF(W$3-前提条件!$B$24+1=1,前提条件!$B$18,IF(W$3-前提条件!$B$24+1=2,前提条件!$B$19,前提条件!$B$20))*INDEX(前提条件!$B$8:$M$8,W$5),0))</f>
        <v>11126500</v>
      </c>
      <c r="X21" s="12" t="n">
        <f aca="false">IF(X$3&lt;前提条件!$B$24,0,ROUND(前提条件!$B$10*前提条件!$B$14*IF(X$3-前提条件!$B$24+1=1,前提条件!$B$18,IF(X$3-前提条件!$B$24+1=2,前提条件!$B$19,前提条件!$B$20))*INDEX(前提条件!$B$8:$M$8,X$5),0))</f>
        <v>10570175</v>
      </c>
      <c r="Y21" s="12" t="n">
        <f aca="false">IF(Y$3&lt;前提条件!$B$24,0,ROUND(前提条件!$B$10*前提条件!$B$14*IF(Y$3-前提条件!$B$24+1=1,前提条件!$B$18,IF(Y$3-前提条件!$B$24+1=2,前提条件!$B$19,前提条件!$B$20))*INDEX(前提条件!$B$8:$M$8,Y$5),0))</f>
        <v>11682825</v>
      </c>
      <c r="Z21" s="12" t="n">
        <f aca="false">IF(Z$3&lt;前提条件!$B$24,0,ROUND(前提条件!$B$10*前提条件!$B$14*IF(Z$3-前提条件!$B$24+1=1,前提条件!$B$18,IF(Z$3-前提条件!$B$24+1=2,前提条件!$B$19,前提条件!$B$20))*INDEX(前提条件!$B$8:$M$8,Z$5),0))</f>
        <v>10013850</v>
      </c>
      <c r="AA21" s="13" t="n">
        <f aca="false">SUM(C21:N21)</f>
        <v>92683745</v>
      </c>
      <c r="AB21" s="13" t="n">
        <f aca="false">SUM(O21:Z21)</f>
        <v>131849025</v>
      </c>
    </row>
    <row r="22" customFormat="false" ht="15" hidden="false" customHeight="false" outlineLevel="0" collapsed="false">
      <c r="A22" s="4" t="s">
        <v>34</v>
      </c>
      <c r="C22" s="12" t="n">
        <f aca="false">ROUND(C21*前提条件!$B$28,0)</f>
        <v>0</v>
      </c>
      <c r="D22" s="12" t="n">
        <f aca="false">ROUND(D21*前提条件!$B$28,0)</f>
        <v>0</v>
      </c>
      <c r="E22" s="12" t="n">
        <f aca="false">ROUND(E21*前提条件!$B$28,0)</f>
        <v>0</v>
      </c>
      <c r="F22" s="12" t="n">
        <f aca="false">ROUND(F21*前提条件!$B$28,0)</f>
        <v>0</v>
      </c>
      <c r="G22" s="12" t="n">
        <f aca="false">ROUND(G21*前提条件!$B$28,0)</f>
        <v>7610526</v>
      </c>
      <c r="H22" s="12" t="n">
        <f aca="false">ROUND(H21*前提条件!$B$28,0)</f>
        <v>6058379</v>
      </c>
      <c r="I22" s="12" t="n">
        <f aca="false">ROUND(I21*前提条件!$B$28,0)</f>
        <v>4255886</v>
      </c>
      <c r="J22" s="12" t="n">
        <f aca="false">ROUND(J21*前提条件!$B$28,0)</f>
        <v>4255886</v>
      </c>
      <c r="K22" s="12" t="n">
        <f aca="false">ROUND(K21*前提条件!$B$28,0)</f>
        <v>5006925</v>
      </c>
      <c r="L22" s="12" t="n">
        <f aca="false">ROUND(L21*前提条件!$B$28,0)</f>
        <v>4756579</v>
      </c>
      <c r="M22" s="12" t="n">
        <f aca="false">ROUND(M21*前提条件!$B$28,0)</f>
        <v>5257271</v>
      </c>
      <c r="N22" s="12" t="n">
        <f aca="false">ROUND(N21*前提条件!$B$28,0)</f>
        <v>4506233</v>
      </c>
      <c r="O22" s="12" t="n">
        <f aca="false">ROUND(O21*前提条件!$B$28,0)</f>
        <v>5507618</v>
      </c>
      <c r="P22" s="12" t="n">
        <f aca="false">ROUND(P21*前提条件!$B$28,0)</f>
        <v>6008310</v>
      </c>
      <c r="Q22" s="12" t="n">
        <f aca="false">ROUND(Q21*前提条件!$B$28,0)</f>
        <v>4756579</v>
      </c>
      <c r="R22" s="12" t="n">
        <f aca="false">ROUND(R21*前提条件!$B$28,0)</f>
        <v>4756579</v>
      </c>
      <c r="S22" s="12" t="n">
        <f aca="false">ROUND(S21*前提条件!$B$28,0)</f>
        <v>4756579</v>
      </c>
      <c r="T22" s="12" t="n">
        <f aca="false">ROUND(T21*前提条件!$B$28,0)</f>
        <v>5507618</v>
      </c>
      <c r="U22" s="12" t="n">
        <f aca="false">ROUND(U21*前提条件!$B$28,0)</f>
        <v>4255886</v>
      </c>
      <c r="V22" s="12" t="n">
        <f aca="false">ROUND(V21*前提条件!$B$28,0)</f>
        <v>4255886</v>
      </c>
      <c r="W22" s="12" t="n">
        <f aca="false">ROUND(W21*前提条件!$B$28,0)</f>
        <v>5006925</v>
      </c>
      <c r="X22" s="12" t="n">
        <f aca="false">ROUND(X21*前提条件!$B$28,0)</f>
        <v>4756579</v>
      </c>
      <c r="Y22" s="12" t="n">
        <f aca="false">ROUND(Y21*前提条件!$B$28,0)</f>
        <v>5257271</v>
      </c>
      <c r="Z22" s="12" t="n">
        <f aca="false">ROUND(Z21*前提条件!$B$28,0)</f>
        <v>4506233</v>
      </c>
      <c r="AA22" s="13" t="n">
        <f aca="false">SUM(C22:N22)</f>
        <v>41707685</v>
      </c>
      <c r="AB22" s="13" t="n">
        <f aca="false">SUM(O22:Z22)</f>
        <v>59332063</v>
      </c>
    </row>
    <row r="23" customFormat="false" ht="15" hidden="false" customHeight="false" outlineLevel="0" collapsed="false">
      <c r="A23" s="7" t="s">
        <v>35</v>
      </c>
      <c r="C23" s="12" t="n">
        <f aca="false">C21-C22</f>
        <v>0</v>
      </c>
      <c r="D23" s="12" t="n">
        <f aca="false">D21-D22</f>
        <v>0</v>
      </c>
      <c r="E23" s="12" t="n">
        <f aca="false">E21-E22</f>
        <v>0</v>
      </c>
      <c r="F23" s="12" t="n">
        <f aca="false">F21-F22</f>
        <v>0</v>
      </c>
      <c r="G23" s="12" t="n">
        <f aca="false">G21-G22</f>
        <v>9301754</v>
      </c>
      <c r="H23" s="12" t="n">
        <f aca="false">H21-H22</f>
        <v>7404686</v>
      </c>
      <c r="I23" s="12" t="n">
        <f aca="false">I21-I22</f>
        <v>5201639</v>
      </c>
      <c r="J23" s="12" t="n">
        <f aca="false">J21-J22</f>
        <v>5201639</v>
      </c>
      <c r="K23" s="12" t="n">
        <f aca="false">K21-K22</f>
        <v>6119575</v>
      </c>
      <c r="L23" s="12" t="n">
        <f aca="false">L21-L22</f>
        <v>5813596</v>
      </c>
      <c r="M23" s="12" t="n">
        <f aca="false">M21-M22</f>
        <v>6425554</v>
      </c>
      <c r="N23" s="12" t="n">
        <f aca="false">N21-N22</f>
        <v>5507617</v>
      </c>
      <c r="O23" s="12" t="n">
        <f aca="false">O21-O22</f>
        <v>6731532</v>
      </c>
      <c r="P23" s="12" t="n">
        <f aca="false">P21-P22</f>
        <v>7343490</v>
      </c>
      <c r="Q23" s="12" t="n">
        <f aca="false">Q21-Q22</f>
        <v>5813596</v>
      </c>
      <c r="R23" s="12" t="n">
        <f aca="false">R21-R22</f>
        <v>5813596</v>
      </c>
      <c r="S23" s="12" t="n">
        <f aca="false">S21-S22</f>
        <v>5813596</v>
      </c>
      <c r="T23" s="12" t="n">
        <f aca="false">T21-T22</f>
        <v>6731532</v>
      </c>
      <c r="U23" s="12" t="n">
        <f aca="false">U21-U22</f>
        <v>5201639</v>
      </c>
      <c r="V23" s="12" t="n">
        <f aca="false">V21-V22</f>
        <v>5201639</v>
      </c>
      <c r="W23" s="12" t="n">
        <f aca="false">W21-W22</f>
        <v>6119575</v>
      </c>
      <c r="X23" s="12" t="n">
        <f aca="false">X21-X22</f>
        <v>5813596</v>
      </c>
      <c r="Y23" s="12" t="n">
        <f aca="false">Y21-Y22</f>
        <v>6425554</v>
      </c>
      <c r="Z23" s="12" t="n">
        <f aca="false">Z21-Z22</f>
        <v>5507617</v>
      </c>
      <c r="AA23" s="13" t="n">
        <f aca="false">SUM(C23:N23)</f>
        <v>50976060</v>
      </c>
      <c r="AB23" s="13" t="n">
        <f aca="false">SUM(O23:Z23)</f>
        <v>72516962</v>
      </c>
    </row>
    <row r="24" customFormat="false" ht="15" hidden="false" customHeight="false" outlineLevel="0" collapsed="false">
      <c r="A24" s="4" t="s">
        <v>36</v>
      </c>
      <c r="C24" s="12" t="n">
        <f aca="false">ROUND(C21*前提条件!$B$29,0)</f>
        <v>0</v>
      </c>
      <c r="D24" s="12" t="n">
        <f aca="false">ROUND(D21*前提条件!$B$29,0)</f>
        <v>0</v>
      </c>
      <c r="E24" s="12" t="n">
        <f aca="false">ROUND(E21*前提条件!$B$29,0)</f>
        <v>0</v>
      </c>
      <c r="F24" s="12" t="n">
        <f aca="false">ROUND(F21*前提条件!$B$29,0)</f>
        <v>0</v>
      </c>
      <c r="G24" s="12" t="n">
        <f aca="false">ROUND(G21*前提条件!$B$29,0)</f>
        <v>845614</v>
      </c>
      <c r="H24" s="12" t="n">
        <f aca="false">ROUND(H21*前提条件!$B$29,0)</f>
        <v>673153</v>
      </c>
      <c r="I24" s="12" t="n">
        <f aca="false">ROUND(I21*前提条件!$B$29,0)</f>
        <v>472876</v>
      </c>
      <c r="J24" s="12" t="n">
        <f aca="false">ROUND(J21*前提条件!$B$29,0)</f>
        <v>472876</v>
      </c>
      <c r="K24" s="12" t="n">
        <f aca="false">ROUND(K21*前提条件!$B$29,0)</f>
        <v>556325</v>
      </c>
      <c r="L24" s="12" t="n">
        <f aca="false">ROUND(L21*前提条件!$B$29,0)</f>
        <v>528509</v>
      </c>
      <c r="M24" s="12" t="n">
        <f aca="false">ROUND(M21*前提条件!$B$29,0)</f>
        <v>584141</v>
      </c>
      <c r="N24" s="12" t="n">
        <f aca="false">ROUND(N21*前提条件!$B$29,0)</f>
        <v>500693</v>
      </c>
      <c r="O24" s="12" t="n">
        <f aca="false">ROUND(O21*前提条件!$B$29,0)</f>
        <v>611958</v>
      </c>
      <c r="P24" s="12" t="n">
        <f aca="false">ROUND(P21*前提条件!$B$29,0)</f>
        <v>667590</v>
      </c>
      <c r="Q24" s="12" t="n">
        <f aca="false">ROUND(Q21*前提条件!$B$29,0)</f>
        <v>528509</v>
      </c>
      <c r="R24" s="12" t="n">
        <f aca="false">ROUND(R21*前提条件!$B$29,0)</f>
        <v>528509</v>
      </c>
      <c r="S24" s="12" t="n">
        <f aca="false">ROUND(S21*前提条件!$B$29,0)</f>
        <v>528509</v>
      </c>
      <c r="T24" s="12" t="n">
        <f aca="false">ROUND(T21*前提条件!$B$29,0)</f>
        <v>611958</v>
      </c>
      <c r="U24" s="12" t="n">
        <f aca="false">ROUND(U21*前提条件!$B$29,0)</f>
        <v>472876</v>
      </c>
      <c r="V24" s="12" t="n">
        <f aca="false">ROUND(V21*前提条件!$B$29,0)</f>
        <v>472876</v>
      </c>
      <c r="W24" s="12" t="n">
        <f aca="false">ROUND(W21*前提条件!$B$29,0)</f>
        <v>556325</v>
      </c>
      <c r="X24" s="12" t="n">
        <f aca="false">ROUND(X21*前提条件!$B$29,0)</f>
        <v>528509</v>
      </c>
      <c r="Y24" s="12" t="n">
        <f aca="false">ROUND(Y21*前提条件!$B$29,0)</f>
        <v>584141</v>
      </c>
      <c r="Z24" s="12" t="n">
        <f aca="false">ROUND(Z21*前提条件!$B$29,0)</f>
        <v>500693</v>
      </c>
      <c r="AA24" s="13" t="n">
        <f aca="false">SUM(C24:N24)</f>
        <v>4634187</v>
      </c>
      <c r="AB24" s="13" t="n">
        <f aca="false">SUM(O24:Z24)</f>
        <v>6592453</v>
      </c>
    </row>
    <row r="25" customFormat="false" ht="15" hidden="false" customHeight="false" outlineLevel="0" collapsed="false">
      <c r="A25" s="4" t="s">
        <v>37</v>
      </c>
      <c r="C25" s="12" t="n">
        <f aca="false">IF(C$3&gt;=前提条件!$B$24,前提条件!$C$34,0)</f>
        <v>0</v>
      </c>
      <c r="D25" s="12" t="n">
        <f aca="false">IF(D$3&gt;=前提条件!$B$24,前提条件!$C$34,0)</f>
        <v>0</v>
      </c>
      <c r="E25" s="12" t="n">
        <f aca="false">IF(E$3&gt;=前提条件!$B$24,前提条件!$C$34,0)</f>
        <v>0</v>
      </c>
      <c r="F25" s="12" t="n">
        <f aca="false">IF(F$3&gt;=前提条件!$B$24,前提条件!$C$34,0)</f>
        <v>0</v>
      </c>
      <c r="G25" s="12" t="n">
        <f aca="false">IF(G$3&gt;=前提条件!$B$24,前提条件!$C$34,0)</f>
        <v>1400000</v>
      </c>
      <c r="H25" s="12" t="n">
        <f aca="false">IF(H$3&gt;=前提条件!$B$24,前提条件!$C$34,0)</f>
        <v>1400000</v>
      </c>
      <c r="I25" s="12" t="n">
        <f aca="false">IF(I$3&gt;=前提条件!$B$24,前提条件!$C$34,0)</f>
        <v>1400000</v>
      </c>
      <c r="J25" s="12" t="n">
        <f aca="false">IF(J$3&gt;=前提条件!$B$24,前提条件!$C$34,0)</f>
        <v>1400000</v>
      </c>
      <c r="K25" s="12" t="n">
        <f aca="false">IF(K$3&gt;=前提条件!$B$24,前提条件!$C$34,0)</f>
        <v>1400000</v>
      </c>
      <c r="L25" s="12" t="n">
        <f aca="false">IF(L$3&gt;=前提条件!$B$24,前提条件!$C$34,0)</f>
        <v>1400000</v>
      </c>
      <c r="M25" s="12" t="n">
        <f aca="false">IF(M$3&gt;=前提条件!$B$24,前提条件!$C$34,0)</f>
        <v>1400000</v>
      </c>
      <c r="N25" s="12" t="n">
        <f aca="false">IF(N$3&gt;=前提条件!$B$24,前提条件!$C$34,0)</f>
        <v>1400000</v>
      </c>
      <c r="O25" s="12" t="n">
        <f aca="false">IF(O$3&gt;=前提条件!$B$24,前提条件!$C$34,0)</f>
        <v>1400000</v>
      </c>
      <c r="P25" s="12" t="n">
        <f aca="false">IF(P$3&gt;=前提条件!$B$24,前提条件!$C$34,0)</f>
        <v>1400000</v>
      </c>
      <c r="Q25" s="12" t="n">
        <f aca="false">IF(Q$3&gt;=前提条件!$B$24,前提条件!$C$34,0)</f>
        <v>1400000</v>
      </c>
      <c r="R25" s="12" t="n">
        <f aca="false">IF(R$3&gt;=前提条件!$B$24,前提条件!$C$34,0)</f>
        <v>1400000</v>
      </c>
      <c r="S25" s="12" t="n">
        <f aca="false">IF(S$3&gt;=前提条件!$B$24,前提条件!$C$34,0)</f>
        <v>1400000</v>
      </c>
      <c r="T25" s="12" t="n">
        <f aca="false">IF(T$3&gt;=前提条件!$B$24,前提条件!$C$34,0)</f>
        <v>1400000</v>
      </c>
      <c r="U25" s="12" t="n">
        <f aca="false">IF(U$3&gt;=前提条件!$B$24,前提条件!$C$34,0)</f>
        <v>1400000</v>
      </c>
      <c r="V25" s="12" t="n">
        <f aca="false">IF(V$3&gt;=前提条件!$B$24,前提条件!$C$34,0)</f>
        <v>1400000</v>
      </c>
      <c r="W25" s="12" t="n">
        <f aca="false">IF(W$3&gt;=前提条件!$B$24,前提条件!$C$34,0)</f>
        <v>1400000</v>
      </c>
      <c r="X25" s="12" t="n">
        <f aca="false">IF(X$3&gt;=前提条件!$B$24,前提条件!$C$34,0)</f>
        <v>1400000</v>
      </c>
      <c r="Y25" s="12" t="n">
        <f aca="false">IF(Y$3&gt;=前提条件!$B$24,前提条件!$C$34,0)</f>
        <v>1400000</v>
      </c>
      <c r="Z25" s="12" t="n">
        <f aca="false">IF(Z$3&gt;=前提条件!$B$24,前提条件!$C$34,0)</f>
        <v>1400000</v>
      </c>
      <c r="AA25" s="13" t="n">
        <f aca="false">SUM(C25:N25)</f>
        <v>11200000</v>
      </c>
      <c r="AB25" s="13" t="n">
        <f aca="false">SUM(O25:Z25)</f>
        <v>16800000</v>
      </c>
    </row>
    <row r="26" customFormat="false" ht="15" hidden="false" customHeight="false" outlineLevel="0" collapsed="false">
      <c r="A26" s="4" t="s">
        <v>38</v>
      </c>
      <c r="C26" s="12" t="n">
        <f aca="false">IF(C$3&gt;=前提条件!$B$24,前提条件!$C$35,0)</f>
        <v>0</v>
      </c>
      <c r="D26" s="12" t="n">
        <f aca="false">IF(D$3&gt;=前提条件!$B$24,前提条件!$C$35,0)</f>
        <v>0</v>
      </c>
      <c r="E26" s="12" t="n">
        <f aca="false">IF(E$3&gt;=前提条件!$B$24,前提条件!$C$35,0)</f>
        <v>0</v>
      </c>
      <c r="F26" s="12" t="n">
        <f aca="false">IF(F$3&gt;=前提条件!$B$24,前提条件!$C$35,0)</f>
        <v>0</v>
      </c>
      <c r="G26" s="12" t="n">
        <f aca="false">IF(G$3&gt;=前提条件!$B$24,前提条件!$C$35,0)</f>
        <v>1700000</v>
      </c>
      <c r="H26" s="12" t="n">
        <f aca="false">IF(H$3&gt;=前提条件!$B$24,前提条件!$C$35,0)</f>
        <v>1700000</v>
      </c>
      <c r="I26" s="12" t="n">
        <f aca="false">IF(I$3&gt;=前提条件!$B$24,前提条件!$C$35,0)</f>
        <v>1700000</v>
      </c>
      <c r="J26" s="12" t="n">
        <f aca="false">IF(J$3&gt;=前提条件!$B$24,前提条件!$C$35,0)</f>
        <v>1700000</v>
      </c>
      <c r="K26" s="12" t="n">
        <f aca="false">IF(K$3&gt;=前提条件!$B$24,前提条件!$C$35,0)</f>
        <v>1700000</v>
      </c>
      <c r="L26" s="12" t="n">
        <f aca="false">IF(L$3&gt;=前提条件!$B$24,前提条件!$C$35,0)</f>
        <v>1700000</v>
      </c>
      <c r="M26" s="12" t="n">
        <f aca="false">IF(M$3&gt;=前提条件!$B$24,前提条件!$C$35,0)</f>
        <v>1700000</v>
      </c>
      <c r="N26" s="12" t="n">
        <f aca="false">IF(N$3&gt;=前提条件!$B$24,前提条件!$C$35,0)</f>
        <v>1700000</v>
      </c>
      <c r="O26" s="12" t="n">
        <f aca="false">IF(O$3&gt;=前提条件!$B$24,前提条件!$C$35,0)</f>
        <v>1700000</v>
      </c>
      <c r="P26" s="12" t="n">
        <f aca="false">IF(P$3&gt;=前提条件!$B$24,前提条件!$C$35,0)</f>
        <v>1700000</v>
      </c>
      <c r="Q26" s="12" t="n">
        <f aca="false">IF(Q$3&gt;=前提条件!$B$24,前提条件!$C$35,0)</f>
        <v>1700000</v>
      </c>
      <c r="R26" s="12" t="n">
        <f aca="false">IF(R$3&gt;=前提条件!$B$24,前提条件!$C$35,0)</f>
        <v>1700000</v>
      </c>
      <c r="S26" s="12" t="n">
        <f aca="false">IF(S$3&gt;=前提条件!$B$24,前提条件!$C$35,0)</f>
        <v>1700000</v>
      </c>
      <c r="T26" s="12" t="n">
        <f aca="false">IF(T$3&gt;=前提条件!$B$24,前提条件!$C$35,0)</f>
        <v>1700000</v>
      </c>
      <c r="U26" s="12" t="n">
        <f aca="false">IF(U$3&gt;=前提条件!$B$24,前提条件!$C$35,0)</f>
        <v>1700000</v>
      </c>
      <c r="V26" s="12" t="n">
        <f aca="false">IF(V$3&gt;=前提条件!$B$24,前提条件!$C$35,0)</f>
        <v>1700000</v>
      </c>
      <c r="W26" s="12" t="n">
        <f aca="false">IF(W$3&gt;=前提条件!$B$24,前提条件!$C$35,0)</f>
        <v>1700000</v>
      </c>
      <c r="X26" s="12" t="n">
        <f aca="false">IF(X$3&gt;=前提条件!$B$24,前提条件!$C$35,0)</f>
        <v>1700000</v>
      </c>
      <c r="Y26" s="12" t="n">
        <f aca="false">IF(Y$3&gt;=前提条件!$B$24,前提条件!$C$35,0)</f>
        <v>1700000</v>
      </c>
      <c r="Z26" s="12" t="n">
        <f aca="false">IF(Z$3&gt;=前提条件!$B$24,前提条件!$C$35,0)</f>
        <v>1700000</v>
      </c>
      <c r="AA26" s="13" t="n">
        <f aca="false">SUM(C26:N26)</f>
        <v>13600000</v>
      </c>
      <c r="AB26" s="13" t="n">
        <f aca="false">SUM(O26:Z26)</f>
        <v>20400000</v>
      </c>
    </row>
    <row r="27" customFormat="false" ht="15" hidden="false" customHeight="false" outlineLevel="0" collapsed="false">
      <c r="A27" s="4" t="s">
        <v>39</v>
      </c>
      <c r="C27" s="12" t="n">
        <f aca="false">IF(C$3&gt;=前提条件!$B$24,前提条件!$C$36,0)</f>
        <v>0</v>
      </c>
      <c r="D27" s="12" t="n">
        <f aca="false">IF(D$3&gt;=前提条件!$B$24,前提条件!$C$36,0)</f>
        <v>0</v>
      </c>
      <c r="E27" s="12" t="n">
        <f aca="false">IF(E$3&gt;=前提条件!$B$24,前提条件!$C$36,0)</f>
        <v>0</v>
      </c>
      <c r="F27" s="12" t="n">
        <f aca="false">IF(F$3&gt;=前提条件!$B$24,前提条件!$C$36,0)</f>
        <v>0</v>
      </c>
      <c r="G27" s="12" t="n">
        <f aca="false">IF(G$3&gt;=前提条件!$B$24,前提条件!$C$36,0)</f>
        <v>900000</v>
      </c>
      <c r="H27" s="12" t="n">
        <f aca="false">IF(H$3&gt;=前提条件!$B$24,前提条件!$C$36,0)</f>
        <v>900000</v>
      </c>
      <c r="I27" s="12" t="n">
        <f aca="false">IF(I$3&gt;=前提条件!$B$24,前提条件!$C$36,0)</f>
        <v>900000</v>
      </c>
      <c r="J27" s="12" t="n">
        <f aca="false">IF(J$3&gt;=前提条件!$B$24,前提条件!$C$36,0)</f>
        <v>900000</v>
      </c>
      <c r="K27" s="12" t="n">
        <f aca="false">IF(K$3&gt;=前提条件!$B$24,前提条件!$C$36,0)</f>
        <v>900000</v>
      </c>
      <c r="L27" s="12" t="n">
        <f aca="false">IF(L$3&gt;=前提条件!$B$24,前提条件!$C$36,0)</f>
        <v>900000</v>
      </c>
      <c r="M27" s="12" t="n">
        <f aca="false">IF(M$3&gt;=前提条件!$B$24,前提条件!$C$36,0)</f>
        <v>900000</v>
      </c>
      <c r="N27" s="12" t="n">
        <f aca="false">IF(N$3&gt;=前提条件!$B$24,前提条件!$C$36,0)</f>
        <v>900000</v>
      </c>
      <c r="O27" s="12" t="n">
        <f aca="false">IF(O$3&gt;=前提条件!$B$24,前提条件!$C$36,0)</f>
        <v>900000</v>
      </c>
      <c r="P27" s="12" t="n">
        <f aca="false">IF(P$3&gt;=前提条件!$B$24,前提条件!$C$36,0)</f>
        <v>900000</v>
      </c>
      <c r="Q27" s="12" t="n">
        <f aca="false">IF(Q$3&gt;=前提条件!$B$24,前提条件!$C$36,0)</f>
        <v>900000</v>
      </c>
      <c r="R27" s="12" t="n">
        <f aca="false">IF(R$3&gt;=前提条件!$B$24,前提条件!$C$36,0)</f>
        <v>900000</v>
      </c>
      <c r="S27" s="12" t="n">
        <f aca="false">IF(S$3&gt;=前提条件!$B$24,前提条件!$C$36,0)</f>
        <v>900000</v>
      </c>
      <c r="T27" s="12" t="n">
        <f aca="false">IF(T$3&gt;=前提条件!$B$24,前提条件!$C$36,0)</f>
        <v>900000</v>
      </c>
      <c r="U27" s="12" t="n">
        <f aca="false">IF(U$3&gt;=前提条件!$B$24,前提条件!$C$36,0)</f>
        <v>900000</v>
      </c>
      <c r="V27" s="12" t="n">
        <f aca="false">IF(V$3&gt;=前提条件!$B$24,前提条件!$C$36,0)</f>
        <v>900000</v>
      </c>
      <c r="W27" s="12" t="n">
        <f aca="false">IF(W$3&gt;=前提条件!$B$24,前提条件!$C$36,0)</f>
        <v>900000</v>
      </c>
      <c r="X27" s="12" t="n">
        <f aca="false">IF(X$3&gt;=前提条件!$B$24,前提条件!$C$36,0)</f>
        <v>900000</v>
      </c>
      <c r="Y27" s="12" t="n">
        <f aca="false">IF(Y$3&gt;=前提条件!$B$24,前提条件!$C$36,0)</f>
        <v>900000</v>
      </c>
      <c r="Z27" s="12" t="n">
        <f aca="false">IF(Z$3&gt;=前提条件!$B$24,前提条件!$C$36,0)</f>
        <v>900000</v>
      </c>
      <c r="AA27" s="13" t="n">
        <f aca="false">SUM(C27:N27)</f>
        <v>7200000</v>
      </c>
      <c r="AB27" s="13" t="n">
        <f aca="false">SUM(O27:Z27)</f>
        <v>10800000</v>
      </c>
    </row>
    <row r="28" customFormat="false" ht="15" hidden="false" customHeight="false" outlineLevel="0" collapsed="false">
      <c r="A28" s="4" t="s">
        <v>40</v>
      </c>
      <c r="C28" s="12" t="n">
        <f aca="false">ROUND(C21*前提条件!$B$30,0)+IF(C$3&gt;=前提条件!$B$24,前提条件!$C$37,0)</f>
        <v>0</v>
      </c>
      <c r="D28" s="12" t="n">
        <f aca="false">ROUND(D21*前提条件!$B$30,0)+IF(D$3&gt;=前提条件!$B$24,前提条件!$C$37,0)</f>
        <v>0</v>
      </c>
      <c r="E28" s="12" t="n">
        <f aca="false">ROUND(E21*前提条件!$B$30,0)+IF(E$3&gt;=前提条件!$B$24,前提条件!$C$37,0)</f>
        <v>0</v>
      </c>
      <c r="F28" s="12" t="n">
        <f aca="false">ROUND(F21*前提条件!$B$30,0)+IF(F$3&gt;=前提条件!$B$24,前提条件!$C$37,0)</f>
        <v>0</v>
      </c>
      <c r="G28" s="12" t="n">
        <f aca="false">ROUND(G21*前提条件!$B$30,0)+IF(G$3&gt;=前提条件!$B$24,前提条件!$C$37,0)</f>
        <v>1076491</v>
      </c>
      <c r="H28" s="12" t="n">
        <f aca="false">ROUND(H21*前提条件!$B$30,0)+IF(H$3&gt;=前提条件!$B$24,前提条件!$C$37,0)</f>
        <v>938523</v>
      </c>
      <c r="I28" s="12" t="n">
        <f aca="false">ROUND(I21*前提条件!$B$30,0)+IF(I$3&gt;=前提条件!$B$24,前提条件!$C$37,0)</f>
        <v>778301</v>
      </c>
      <c r="J28" s="12" t="n">
        <f aca="false">ROUND(J21*前提条件!$B$30,0)+IF(J$3&gt;=前提条件!$B$24,前提条件!$C$37,0)</f>
        <v>778301</v>
      </c>
      <c r="K28" s="12" t="n">
        <f aca="false">ROUND(K21*前提条件!$B$30,0)+IF(K$3&gt;=前提条件!$B$24,前提条件!$C$37,0)</f>
        <v>845060</v>
      </c>
      <c r="L28" s="12" t="n">
        <f aca="false">ROUND(L21*前提条件!$B$30,0)+IF(L$3&gt;=前提条件!$B$24,前提条件!$C$37,0)</f>
        <v>822807</v>
      </c>
      <c r="M28" s="12" t="n">
        <f aca="false">ROUND(M21*前提条件!$B$30,0)+IF(M$3&gt;=前提条件!$B$24,前提条件!$C$37,0)</f>
        <v>867313</v>
      </c>
      <c r="N28" s="12" t="n">
        <f aca="false">ROUND(N21*前提条件!$B$30,0)+IF(N$3&gt;=前提条件!$B$24,前提条件!$C$37,0)</f>
        <v>800554</v>
      </c>
      <c r="O28" s="12" t="n">
        <f aca="false">ROUND(O21*前提条件!$B$30,0)+IF(O$3&gt;=前提条件!$B$24,前提条件!$C$37,0)</f>
        <v>889566</v>
      </c>
      <c r="P28" s="12" t="n">
        <f aca="false">ROUND(P21*前提条件!$B$30,0)+IF(P$3&gt;=前提条件!$B$24,前提条件!$C$37,0)</f>
        <v>934072</v>
      </c>
      <c r="Q28" s="12" t="n">
        <f aca="false">ROUND(Q21*前提条件!$B$30,0)+IF(Q$3&gt;=前提条件!$B$24,前提条件!$C$37,0)</f>
        <v>822807</v>
      </c>
      <c r="R28" s="12" t="n">
        <f aca="false">ROUND(R21*前提条件!$B$30,0)+IF(R$3&gt;=前提条件!$B$24,前提条件!$C$37,0)</f>
        <v>822807</v>
      </c>
      <c r="S28" s="12" t="n">
        <f aca="false">ROUND(S21*前提条件!$B$30,0)+IF(S$3&gt;=前提条件!$B$24,前提条件!$C$37,0)</f>
        <v>822807</v>
      </c>
      <c r="T28" s="12" t="n">
        <f aca="false">ROUND(T21*前提条件!$B$30,0)+IF(T$3&gt;=前提条件!$B$24,前提条件!$C$37,0)</f>
        <v>889566</v>
      </c>
      <c r="U28" s="12" t="n">
        <f aca="false">ROUND(U21*前提条件!$B$30,0)+IF(U$3&gt;=前提条件!$B$24,前提条件!$C$37,0)</f>
        <v>778301</v>
      </c>
      <c r="V28" s="12" t="n">
        <f aca="false">ROUND(V21*前提条件!$B$30,0)+IF(V$3&gt;=前提条件!$B$24,前提条件!$C$37,0)</f>
        <v>778301</v>
      </c>
      <c r="W28" s="12" t="n">
        <f aca="false">ROUND(W21*前提条件!$B$30,0)+IF(W$3&gt;=前提条件!$B$24,前提条件!$C$37,0)</f>
        <v>845060</v>
      </c>
      <c r="X28" s="12" t="n">
        <f aca="false">ROUND(X21*前提条件!$B$30,0)+IF(X$3&gt;=前提条件!$B$24,前提条件!$C$37,0)</f>
        <v>822807</v>
      </c>
      <c r="Y28" s="12" t="n">
        <f aca="false">ROUND(Y21*前提条件!$B$30,0)+IF(Y$3&gt;=前提条件!$B$24,前提条件!$C$37,0)</f>
        <v>867313</v>
      </c>
      <c r="Z28" s="12" t="n">
        <f aca="false">ROUND(Z21*前提条件!$B$30,0)+IF(Z$3&gt;=前提条件!$B$24,前提条件!$C$37,0)</f>
        <v>800554</v>
      </c>
      <c r="AA28" s="13" t="n">
        <f aca="false">SUM(C28:N28)</f>
        <v>6907350</v>
      </c>
      <c r="AB28" s="13" t="n">
        <f aca="false">SUM(O28:Z28)</f>
        <v>10073961</v>
      </c>
    </row>
    <row r="29" customFormat="false" ht="15" hidden="false" customHeight="false" outlineLevel="0" collapsed="false">
      <c r="A29" s="4" t="s">
        <v>41</v>
      </c>
      <c r="C29" s="12" t="n">
        <f aca="false">IF(C$3&gt;=前提条件!$B$24,ROUND(前提条件!$C$38/(前提条件!$B$39*12),0),0)</f>
        <v>0</v>
      </c>
      <c r="D29" s="12" t="n">
        <f aca="false">IF(D$3&gt;=前提条件!$B$24,ROUND(前提条件!$C$38/(前提条件!$B$39*12),0),0)</f>
        <v>0</v>
      </c>
      <c r="E29" s="12" t="n">
        <f aca="false">IF(E$3&gt;=前提条件!$B$24,ROUND(前提条件!$C$38/(前提条件!$B$39*12),0),0)</f>
        <v>0</v>
      </c>
      <c r="F29" s="12" t="n">
        <f aca="false">IF(F$3&gt;=前提条件!$B$24,ROUND(前提条件!$C$38/(前提条件!$B$39*12),0),0)</f>
        <v>0</v>
      </c>
      <c r="G29" s="12" t="n">
        <f aca="false">IF(G$3&gt;=前提条件!$B$24,ROUND(前提条件!$C$38/(前提条件!$B$39*12),0),0)</f>
        <v>416667</v>
      </c>
      <c r="H29" s="12" t="n">
        <f aca="false">IF(H$3&gt;=前提条件!$B$24,ROUND(前提条件!$C$38/(前提条件!$B$39*12),0),0)</f>
        <v>416667</v>
      </c>
      <c r="I29" s="12" t="n">
        <f aca="false">IF(I$3&gt;=前提条件!$B$24,ROUND(前提条件!$C$38/(前提条件!$B$39*12),0),0)</f>
        <v>416667</v>
      </c>
      <c r="J29" s="12" t="n">
        <f aca="false">IF(J$3&gt;=前提条件!$B$24,ROUND(前提条件!$C$38/(前提条件!$B$39*12),0),0)</f>
        <v>416667</v>
      </c>
      <c r="K29" s="12" t="n">
        <f aca="false">IF(K$3&gt;=前提条件!$B$24,ROUND(前提条件!$C$38/(前提条件!$B$39*12),0),0)</f>
        <v>416667</v>
      </c>
      <c r="L29" s="12" t="n">
        <f aca="false">IF(L$3&gt;=前提条件!$B$24,ROUND(前提条件!$C$38/(前提条件!$B$39*12),0),0)</f>
        <v>416667</v>
      </c>
      <c r="M29" s="12" t="n">
        <f aca="false">IF(M$3&gt;=前提条件!$B$24,ROUND(前提条件!$C$38/(前提条件!$B$39*12),0),0)</f>
        <v>416667</v>
      </c>
      <c r="N29" s="12" t="n">
        <f aca="false">IF(N$3&gt;=前提条件!$B$24,ROUND(前提条件!$C$38/(前提条件!$B$39*12),0),0)</f>
        <v>416667</v>
      </c>
      <c r="O29" s="12" t="n">
        <f aca="false">IF(O$3&gt;=前提条件!$B$24,ROUND(前提条件!$C$38/(前提条件!$B$39*12),0),0)</f>
        <v>416667</v>
      </c>
      <c r="P29" s="12" t="n">
        <f aca="false">IF(P$3&gt;=前提条件!$B$24,ROUND(前提条件!$C$38/(前提条件!$B$39*12),0),0)</f>
        <v>416667</v>
      </c>
      <c r="Q29" s="12" t="n">
        <f aca="false">IF(Q$3&gt;=前提条件!$B$24,ROUND(前提条件!$C$38/(前提条件!$B$39*12),0),0)</f>
        <v>416667</v>
      </c>
      <c r="R29" s="12" t="n">
        <f aca="false">IF(R$3&gt;=前提条件!$B$24,ROUND(前提条件!$C$38/(前提条件!$B$39*12),0),0)</f>
        <v>416667</v>
      </c>
      <c r="S29" s="12" t="n">
        <f aca="false">IF(S$3&gt;=前提条件!$B$24,ROUND(前提条件!$C$38/(前提条件!$B$39*12),0),0)</f>
        <v>416667</v>
      </c>
      <c r="T29" s="12" t="n">
        <f aca="false">IF(T$3&gt;=前提条件!$B$24,ROUND(前提条件!$C$38/(前提条件!$B$39*12),0),0)</f>
        <v>416667</v>
      </c>
      <c r="U29" s="12" t="n">
        <f aca="false">IF(U$3&gt;=前提条件!$B$24,ROUND(前提条件!$C$38/(前提条件!$B$39*12),0),0)</f>
        <v>416667</v>
      </c>
      <c r="V29" s="12" t="n">
        <f aca="false">IF(V$3&gt;=前提条件!$B$24,ROUND(前提条件!$C$38/(前提条件!$B$39*12),0),0)</f>
        <v>416667</v>
      </c>
      <c r="W29" s="12" t="n">
        <f aca="false">IF(W$3&gt;=前提条件!$B$24,ROUND(前提条件!$C$38/(前提条件!$B$39*12),0),0)</f>
        <v>416667</v>
      </c>
      <c r="X29" s="12" t="n">
        <f aca="false">IF(X$3&gt;=前提条件!$B$24,ROUND(前提条件!$C$38/(前提条件!$B$39*12),0),0)</f>
        <v>416667</v>
      </c>
      <c r="Y29" s="12" t="n">
        <f aca="false">IF(Y$3&gt;=前提条件!$B$24,ROUND(前提条件!$C$38/(前提条件!$B$39*12),0),0)</f>
        <v>416667</v>
      </c>
      <c r="Z29" s="12" t="n">
        <f aca="false">IF(Z$3&gt;=前提条件!$B$24,ROUND(前提条件!$C$38/(前提条件!$B$39*12),0),0)</f>
        <v>416667</v>
      </c>
      <c r="AA29" s="13" t="n">
        <f aca="false">SUM(C29:N29)</f>
        <v>3333336</v>
      </c>
      <c r="AB29" s="13" t="n">
        <f aca="false">SUM(O29:Z29)</f>
        <v>5000004</v>
      </c>
    </row>
    <row r="30" customFormat="false" ht="15" hidden="false" customHeight="false" outlineLevel="0" collapsed="false">
      <c r="A30" s="7" t="s">
        <v>42</v>
      </c>
      <c r="C30" s="12" t="n">
        <f aca="false">C23-SUM(C24:C29)</f>
        <v>0</v>
      </c>
      <c r="D30" s="12" t="n">
        <f aca="false">D23-SUM(D24:D29)</f>
        <v>0</v>
      </c>
      <c r="E30" s="12" t="n">
        <f aca="false">E23-SUM(E24:E29)</f>
        <v>0</v>
      </c>
      <c r="F30" s="12" t="n">
        <f aca="false">F23-SUM(F24:F29)</f>
        <v>0</v>
      </c>
      <c r="G30" s="12" t="n">
        <f aca="false">G23-SUM(G24:G29)</f>
        <v>2962982</v>
      </c>
      <c r="H30" s="12" t="n">
        <f aca="false">H23-SUM(H24:H29)</f>
        <v>1376343</v>
      </c>
      <c r="I30" s="12" t="n">
        <f aca="false">I23-SUM(I24:I29)</f>
        <v>-466205</v>
      </c>
      <c r="J30" s="12" t="n">
        <f aca="false">J23-SUM(J24:J29)</f>
        <v>-466205</v>
      </c>
      <c r="K30" s="12" t="n">
        <f aca="false">K23-SUM(K24:K29)</f>
        <v>301523</v>
      </c>
      <c r="L30" s="12" t="n">
        <f aca="false">L23-SUM(L24:L29)</f>
        <v>45613</v>
      </c>
      <c r="M30" s="12" t="n">
        <f aca="false">M23-SUM(M24:M29)</f>
        <v>557433</v>
      </c>
      <c r="N30" s="12" t="n">
        <f aca="false">N23-SUM(N24:N29)</f>
        <v>-210297</v>
      </c>
      <c r="O30" s="12" t="n">
        <f aca="false">O23-SUM(O24:O29)</f>
        <v>813341</v>
      </c>
      <c r="P30" s="12" t="n">
        <f aca="false">P23-SUM(P24:P29)</f>
        <v>1325161</v>
      </c>
      <c r="Q30" s="12" t="n">
        <f aca="false">Q23-SUM(Q24:Q29)</f>
        <v>45613</v>
      </c>
      <c r="R30" s="12" t="n">
        <f aca="false">R23-SUM(R24:R29)</f>
        <v>45613</v>
      </c>
      <c r="S30" s="12" t="n">
        <f aca="false">S23-SUM(S24:S29)</f>
        <v>45613</v>
      </c>
      <c r="T30" s="12" t="n">
        <f aca="false">T23-SUM(T24:T29)</f>
        <v>813341</v>
      </c>
      <c r="U30" s="12" t="n">
        <f aca="false">U23-SUM(U24:U29)</f>
        <v>-466205</v>
      </c>
      <c r="V30" s="12" t="n">
        <f aca="false">V23-SUM(V24:V29)</f>
        <v>-466205</v>
      </c>
      <c r="W30" s="12" t="n">
        <f aca="false">W23-SUM(W24:W29)</f>
        <v>301523</v>
      </c>
      <c r="X30" s="12" t="n">
        <f aca="false">X23-SUM(X24:X29)</f>
        <v>45613</v>
      </c>
      <c r="Y30" s="12" t="n">
        <f aca="false">Y23-SUM(Y24:Y29)</f>
        <v>557433</v>
      </c>
      <c r="Z30" s="12" t="n">
        <f aca="false">Z23-SUM(Z24:Z29)</f>
        <v>-210297</v>
      </c>
      <c r="AA30" s="13" t="n">
        <f aca="false">SUM(C30:N30)</f>
        <v>4101187</v>
      </c>
      <c r="AB30" s="13" t="n">
        <f aca="false">SUM(O30:Z30)</f>
        <v>2850544</v>
      </c>
    </row>
    <row r="31" customFormat="false" ht="15" hidden="false" customHeight="false" outlineLevel="0" collapsed="false">
      <c r="A31" s="4" t="s">
        <v>43</v>
      </c>
      <c r="C31" s="14" t="n">
        <f aca="false">IF(C21=0,0,C30/C21)</f>
        <v>0</v>
      </c>
      <c r="D31" s="14" t="n">
        <f aca="false">IF(D21=0,0,D30/D21)</f>
        <v>0</v>
      </c>
      <c r="E31" s="14" t="n">
        <f aca="false">IF(E21=0,0,E30/E21)</f>
        <v>0</v>
      </c>
      <c r="F31" s="14" t="n">
        <f aca="false">IF(F21=0,0,F30/F21)</f>
        <v>0</v>
      </c>
      <c r="G31" s="14" t="n">
        <f aca="false">IF(G21=0,0,G30/G21)</f>
        <v>0.175197075734319</v>
      </c>
      <c r="H31" s="14" t="n">
        <f aca="false">IF(H21=0,0,H30/H21)</f>
        <v>0.102231029858357</v>
      </c>
      <c r="I31" s="14" t="n">
        <f aca="false">IF(I21=0,0,I30/I21)</f>
        <v>-0.0492946093190343</v>
      </c>
      <c r="J31" s="14" t="n">
        <f aca="false">IF(J21=0,0,J30/J21)</f>
        <v>-0.0492946093190343</v>
      </c>
      <c r="K31" s="14" t="n">
        <f aca="false">IF(K21=0,0,K30/K21)</f>
        <v>0.0270995371410596</v>
      </c>
      <c r="L31" s="14" t="n">
        <f aca="false">IF(L21=0,0,L30/L21)</f>
        <v>0.00431525495084045</v>
      </c>
      <c r="M31" s="14" t="n">
        <f aca="false">IF(M21=0,0,M30/M21)</f>
        <v>0.0477138876941151</v>
      </c>
      <c r="N31" s="14" t="n">
        <f aca="false">IF(N21=0,0,N30/N21)</f>
        <v>-0.0210006141494031</v>
      </c>
      <c r="O31" s="14" t="n">
        <f aca="false">IF(O21=0,0,O30/O21)</f>
        <v>0.0664540429686702</v>
      </c>
      <c r="P31" s="14" t="n">
        <f aca="false">IF(P21=0,0,P30/P21)</f>
        <v>0.0992496142842164</v>
      </c>
      <c r="Q31" s="14" t="n">
        <f aca="false">IF(Q21=0,0,Q30/Q21)</f>
        <v>0.00431525495084045</v>
      </c>
      <c r="R31" s="14" t="n">
        <f aca="false">IF(R21=0,0,R30/R21)</f>
        <v>0.00431525495084045</v>
      </c>
      <c r="S31" s="14" t="n">
        <f aca="false">IF(S21=0,0,S30/S21)</f>
        <v>0.00431525495084045</v>
      </c>
      <c r="T31" s="14" t="n">
        <f aca="false">IF(T21=0,0,T30/T21)</f>
        <v>0.0664540429686702</v>
      </c>
      <c r="U31" s="14" t="n">
        <f aca="false">IF(U21=0,0,U30/U21)</f>
        <v>-0.0492946093190343</v>
      </c>
      <c r="V31" s="14" t="n">
        <f aca="false">IF(V21=0,0,V30/V21)</f>
        <v>-0.0492946093190343</v>
      </c>
      <c r="W31" s="14" t="n">
        <f aca="false">IF(W21=0,0,W30/W21)</f>
        <v>0.0270995371410596</v>
      </c>
      <c r="X31" s="14" t="n">
        <f aca="false">IF(X21=0,0,X30/X21)</f>
        <v>0.00431525495084045</v>
      </c>
      <c r="Y31" s="14" t="n">
        <f aca="false">IF(Y21=0,0,Y30/Y21)</f>
        <v>0.0477138876941151</v>
      </c>
      <c r="Z31" s="14" t="n">
        <f aca="false">IF(Z21=0,0,Z30/Z21)</f>
        <v>-0.0210006141494031</v>
      </c>
      <c r="AA31" s="26" t="n">
        <f aca="false">IF(AA21=0,0,AA30/AA21)</f>
        <v>0.0442492585943738</v>
      </c>
      <c r="AB31" s="26" t="n">
        <f aca="false">IF(AB21=0,0,AB30/AB21)</f>
        <v>0.0216197579011297</v>
      </c>
    </row>
    <row r="33" customFormat="false" ht="15" hidden="false" customHeight="false" outlineLevel="0" collapsed="false">
      <c r="A33" s="3" t="s">
        <v>149</v>
      </c>
      <c r="B33" s="2" t="s">
        <v>148</v>
      </c>
    </row>
    <row r="34" customFormat="false" ht="15" hidden="false" customHeight="false" outlineLevel="0" collapsed="false">
      <c r="A34" s="7" t="s">
        <v>33</v>
      </c>
      <c r="C34" s="12" t="n">
        <f aca="false">IF(C$3&lt;前提条件!$B$25,0,ROUND(前提条件!$B$10*前提条件!$B$15*IF(C$3-前提条件!$B$25+1=1,前提条件!$B$18,IF(C$3-前提条件!$B$25+1=2,前提条件!$B$19,前提条件!$B$20))*INDEX(前提条件!$B$8:$M$8,C$5),0))</f>
        <v>0</v>
      </c>
      <c r="D34" s="12" t="n">
        <f aca="false">IF(D$3&lt;前提条件!$B$25,0,ROUND(前提条件!$B$10*前提条件!$B$15*IF(D$3-前提条件!$B$25+1=1,前提条件!$B$18,IF(D$3-前提条件!$B$25+1=2,前提条件!$B$19,前提条件!$B$20))*INDEX(前提条件!$B$8:$M$8,D$5),0))</f>
        <v>0</v>
      </c>
      <c r="E34" s="12" t="n">
        <f aca="false">IF(E$3&lt;前提条件!$B$25,0,ROUND(前提条件!$B$10*前提条件!$B$15*IF(E$3-前提条件!$B$25+1=1,前提条件!$B$18,IF(E$3-前提条件!$B$25+1=2,前提条件!$B$19,前提条件!$B$20))*INDEX(前提条件!$B$8:$M$8,E$5),0))</f>
        <v>0</v>
      </c>
      <c r="F34" s="12" t="n">
        <f aca="false">IF(F$3&lt;前提条件!$B$25,0,ROUND(前提条件!$B$10*前提条件!$B$15*IF(F$3-前提条件!$B$25+1=1,前提条件!$B$18,IF(F$3-前提条件!$B$25+1=2,前提条件!$B$19,前提条件!$B$20))*INDEX(前提条件!$B$8:$M$8,F$5),0))</f>
        <v>0</v>
      </c>
      <c r="G34" s="12" t="n">
        <f aca="false">IF(G$3&lt;前提条件!$B$25,0,ROUND(前提条件!$B$10*前提条件!$B$15*IF(G$3-前提条件!$B$25+1=1,前提条件!$B$18,IF(G$3-前提条件!$B$25+1=2,前提条件!$B$19,前提条件!$B$20))*INDEX(前提条件!$B$8:$M$8,G$5),0))</f>
        <v>0</v>
      </c>
      <c r="H34" s="12" t="n">
        <f aca="false">IF(H$3&lt;前提条件!$B$25,0,ROUND(前提条件!$B$10*前提条件!$B$15*IF(H$3-前提条件!$B$25+1=1,前提条件!$B$18,IF(H$3-前提条件!$B$25+1=2,前提条件!$B$19,前提条件!$B$20))*INDEX(前提条件!$B$8:$M$8,H$5),0))</f>
        <v>0</v>
      </c>
      <c r="I34" s="12" t="n">
        <f aca="false">IF(I$3&lt;前提条件!$B$25,0,ROUND(前提条件!$B$10*前提条件!$B$15*IF(I$3-前提条件!$B$25+1=1,前提条件!$B$18,IF(I$3-前提条件!$B$25+1=2,前提条件!$B$19,前提条件!$B$20))*INDEX(前提条件!$B$8:$M$8,I$5),0))</f>
        <v>0</v>
      </c>
      <c r="J34" s="12" t="n">
        <f aca="false">IF(J$3&lt;前提条件!$B$25,0,ROUND(前提条件!$B$10*前提条件!$B$15*IF(J$3-前提条件!$B$25+1=1,前提条件!$B$18,IF(J$3-前提条件!$B$25+1=2,前提条件!$B$19,前提条件!$B$20))*INDEX(前提条件!$B$8:$M$8,J$5),0))</f>
        <v>0</v>
      </c>
      <c r="K34" s="12" t="n">
        <f aca="false">IF(K$3&lt;前提条件!$B$25,0,ROUND(前提条件!$B$10*前提条件!$B$15*IF(K$3-前提条件!$B$25+1=1,前提条件!$B$18,IF(K$3-前提条件!$B$25+1=2,前提条件!$B$19,前提条件!$B$20))*INDEX(前提条件!$B$8:$M$8,K$5),0))</f>
        <v>13613600</v>
      </c>
      <c r="L34" s="12" t="n">
        <f aca="false">IF(L$3&lt;前提条件!$B$25,0,ROUND(前提条件!$B$10*前提条件!$B$15*IF(L$3-前提条件!$B$25+1=1,前提条件!$B$18,IF(L$3-前提条件!$B$25+1=2,前提条件!$B$19,前提条件!$B$20))*INDEX(前提条件!$B$8:$M$8,L$5),0))</f>
        <v>8891383</v>
      </c>
      <c r="M34" s="12" t="n">
        <f aca="false">IF(M$3&lt;前提条件!$B$25,0,ROUND(前提条件!$B$10*前提条件!$B$15*IF(M$3-前提条件!$B$25+1=1,前提条件!$B$18,IF(M$3-前提条件!$B$25+1=2,前提条件!$B$19,前提条件!$B$20))*INDEX(前提条件!$B$8:$M$8,M$5),0))</f>
        <v>8933925</v>
      </c>
      <c r="N34" s="12" t="n">
        <f aca="false">IF(N$3&lt;前提条件!$B$25,0,ROUND(前提条件!$B$10*前提条件!$B$15*IF(N$3-前提条件!$B$25+1=1,前提条件!$B$18,IF(N$3-前提条件!$B$25+1=2,前提条件!$B$19,前提条件!$B$20))*INDEX(前提条件!$B$8:$M$8,N$5),0))</f>
        <v>7657650</v>
      </c>
      <c r="O34" s="12" t="n">
        <f aca="false">IF(O$3&lt;前提条件!$B$25,0,ROUND(前提条件!$B$10*前提条件!$B$15*IF(O$3-前提条件!$B$25+1=1,前提条件!$B$18,IF(O$3-前提条件!$B$25+1=2,前提条件!$B$19,前提条件!$B$20))*INDEX(前提条件!$B$8:$M$8,O$5),0))</f>
        <v>9359350</v>
      </c>
      <c r="P34" s="12" t="n">
        <f aca="false">IF(P$3&lt;前提条件!$B$25,0,ROUND(前提条件!$B$10*前提条件!$B$15*IF(P$3-前提条件!$B$25+1=1,前提条件!$B$18,IF(P$3-前提条件!$B$25+1=2,前提条件!$B$19,前提条件!$B$20))*INDEX(前提条件!$B$8:$M$8,P$5),0))</f>
        <v>10210200</v>
      </c>
      <c r="Q34" s="12" t="n">
        <f aca="false">IF(Q$3&lt;前提条件!$B$25,0,ROUND(前提条件!$B$10*前提条件!$B$15*IF(Q$3-前提条件!$B$25+1=1,前提条件!$B$18,IF(Q$3-前提条件!$B$25+1=2,前提条件!$B$19,前提条件!$B$20))*INDEX(前提条件!$B$8:$M$8,Q$5),0))</f>
        <v>8083075</v>
      </c>
      <c r="R34" s="12" t="n">
        <f aca="false">IF(R$3&lt;前提条件!$B$25,0,ROUND(前提条件!$B$10*前提条件!$B$15*IF(R$3-前提条件!$B$25+1=1,前提条件!$B$18,IF(R$3-前提条件!$B$25+1=2,前提条件!$B$19,前提条件!$B$20))*INDEX(前提条件!$B$8:$M$8,R$5),0))</f>
        <v>8083075</v>
      </c>
      <c r="S34" s="12" t="n">
        <f aca="false">IF(S$3&lt;前提条件!$B$25,0,ROUND(前提条件!$B$10*前提条件!$B$15*IF(S$3-前提条件!$B$25+1=1,前提条件!$B$18,IF(S$3-前提条件!$B$25+1=2,前提条件!$B$19,前提条件!$B$20))*INDEX(前提条件!$B$8:$M$8,S$5),0))</f>
        <v>8083075</v>
      </c>
      <c r="T34" s="12" t="n">
        <f aca="false">IF(T$3&lt;前提条件!$B$25,0,ROUND(前提条件!$B$10*前提条件!$B$15*IF(T$3-前提条件!$B$25+1=1,前提条件!$B$18,IF(T$3-前提条件!$B$25+1=2,前提条件!$B$19,前提条件!$B$20))*INDEX(前提条件!$B$8:$M$8,T$5),0))</f>
        <v>9359350</v>
      </c>
      <c r="U34" s="12" t="n">
        <f aca="false">IF(U$3&lt;前提条件!$B$25,0,ROUND(前提条件!$B$10*前提条件!$B$15*IF(U$3-前提条件!$B$25+1=1,前提条件!$B$18,IF(U$3-前提条件!$B$25+1=2,前提条件!$B$19,前提条件!$B$20))*INDEX(前提条件!$B$8:$M$8,U$5),0))</f>
        <v>7232225</v>
      </c>
      <c r="V34" s="12" t="n">
        <f aca="false">IF(V$3&lt;前提条件!$B$25,0,ROUND(前提条件!$B$10*前提条件!$B$15*IF(V$3-前提条件!$B$25+1=1,前提条件!$B$18,IF(V$3-前提条件!$B$25+1=2,前提条件!$B$19,前提条件!$B$20))*INDEX(前提条件!$B$8:$M$8,V$5),0))</f>
        <v>7232225</v>
      </c>
      <c r="W34" s="12" t="n">
        <f aca="false">IF(W$3&lt;前提条件!$B$25,0,ROUND(前提条件!$B$10*前提条件!$B$15*IF(W$3-前提条件!$B$25+1=1,前提条件!$B$18,IF(W$3-前提条件!$B$25+1=2,前提条件!$B$19,前提条件!$B$20))*INDEX(前提条件!$B$8:$M$8,W$5),0))</f>
        <v>8508500</v>
      </c>
      <c r="X34" s="12" t="n">
        <f aca="false">IF(X$3&lt;前提条件!$B$25,0,ROUND(前提条件!$B$10*前提条件!$B$15*IF(X$3-前提条件!$B$25+1=1,前提条件!$B$18,IF(X$3-前提条件!$B$25+1=2,前提条件!$B$19,前提条件!$B$20))*INDEX(前提条件!$B$8:$M$8,X$5),0))</f>
        <v>8083075</v>
      </c>
      <c r="Y34" s="12" t="n">
        <f aca="false">IF(Y$3&lt;前提条件!$B$25,0,ROUND(前提条件!$B$10*前提条件!$B$15*IF(Y$3-前提条件!$B$25+1=1,前提条件!$B$18,IF(Y$3-前提条件!$B$25+1=2,前提条件!$B$19,前提条件!$B$20))*INDEX(前提条件!$B$8:$M$8,Y$5),0))</f>
        <v>8933925</v>
      </c>
      <c r="Z34" s="12" t="n">
        <f aca="false">IF(Z$3&lt;前提条件!$B$25,0,ROUND(前提条件!$B$10*前提条件!$B$15*IF(Z$3-前提条件!$B$25+1=1,前提条件!$B$18,IF(Z$3-前提条件!$B$25+1=2,前提条件!$B$19,前提条件!$B$20))*INDEX(前提条件!$B$8:$M$8,Z$5),0))</f>
        <v>7657650</v>
      </c>
      <c r="AA34" s="13" t="n">
        <f aca="false">SUM(C34:N34)</f>
        <v>39096558</v>
      </c>
      <c r="AB34" s="13" t="n">
        <f aca="false">SUM(O34:Z34)</f>
        <v>100825725</v>
      </c>
    </row>
    <row r="35" customFormat="false" ht="15" hidden="false" customHeight="false" outlineLevel="0" collapsed="false">
      <c r="A35" s="4" t="s">
        <v>34</v>
      </c>
      <c r="C35" s="12" t="n">
        <f aca="false">ROUND(C34*前提条件!$B$28,0)</f>
        <v>0</v>
      </c>
      <c r="D35" s="12" t="n">
        <f aca="false">ROUND(D34*前提条件!$B$28,0)</f>
        <v>0</v>
      </c>
      <c r="E35" s="12" t="n">
        <f aca="false">ROUND(E34*前提条件!$B$28,0)</f>
        <v>0</v>
      </c>
      <c r="F35" s="12" t="n">
        <f aca="false">ROUND(F34*前提条件!$B$28,0)</f>
        <v>0</v>
      </c>
      <c r="G35" s="12" t="n">
        <f aca="false">ROUND(G34*前提条件!$B$28,0)</f>
        <v>0</v>
      </c>
      <c r="H35" s="12" t="n">
        <f aca="false">ROUND(H34*前提条件!$B$28,0)</f>
        <v>0</v>
      </c>
      <c r="I35" s="12" t="n">
        <f aca="false">ROUND(I34*前提条件!$B$28,0)</f>
        <v>0</v>
      </c>
      <c r="J35" s="12" t="n">
        <f aca="false">ROUND(J34*前提条件!$B$28,0)</f>
        <v>0</v>
      </c>
      <c r="K35" s="12" t="n">
        <f aca="false">ROUND(K34*前提条件!$B$28,0)</f>
        <v>6126120</v>
      </c>
      <c r="L35" s="12" t="n">
        <f aca="false">ROUND(L34*前提条件!$B$28,0)</f>
        <v>4001122</v>
      </c>
      <c r="M35" s="12" t="n">
        <f aca="false">ROUND(M34*前提条件!$B$28,0)</f>
        <v>4020266</v>
      </c>
      <c r="N35" s="12" t="n">
        <f aca="false">ROUND(N34*前提条件!$B$28,0)</f>
        <v>3445943</v>
      </c>
      <c r="O35" s="12" t="n">
        <f aca="false">ROUND(O34*前提条件!$B$28,0)</f>
        <v>4211708</v>
      </c>
      <c r="P35" s="12" t="n">
        <f aca="false">ROUND(P34*前提条件!$B$28,0)</f>
        <v>4594590</v>
      </c>
      <c r="Q35" s="12" t="n">
        <f aca="false">ROUND(Q34*前提条件!$B$28,0)</f>
        <v>3637384</v>
      </c>
      <c r="R35" s="12" t="n">
        <f aca="false">ROUND(R34*前提条件!$B$28,0)</f>
        <v>3637384</v>
      </c>
      <c r="S35" s="12" t="n">
        <f aca="false">ROUND(S34*前提条件!$B$28,0)</f>
        <v>3637384</v>
      </c>
      <c r="T35" s="12" t="n">
        <f aca="false">ROUND(T34*前提条件!$B$28,0)</f>
        <v>4211708</v>
      </c>
      <c r="U35" s="12" t="n">
        <f aca="false">ROUND(U34*前提条件!$B$28,0)</f>
        <v>3254501</v>
      </c>
      <c r="V35" s="12" t="n">
        <f aca="false">ROUND(V34*前提条件!$B$28,0)</f>
        <v>3254501</v>
      </c>
      <c r="W35" s="12" t="n">
        <f aca="false">ROUND(W34*前提条件!$B$28,0)</f>
        <v>3828825</v>
      </c>
      <c r="X35" s="12" t="n">
        <f aca="false">ROUND(X34*前提条件!$B$28,0)</f>
        <v>3637384</v>
      </c>
      <c r="Y35" s="12" t="n">
        <f aca="false">ROUND(Y34*前提条件!$B$28,0)</f>
        <v>4020266</v>
      </c>
      <c r="Z35" s="12" t="n">
        <f aca="false">ROUND(Z34*前提条件!$B$28,0)</f>
        <v>3445943</v>
      </c>
      <c r="AA35" s="13" t="n">
        <f aca="false">SUM(C35:N35)</f>
        <v>17593451</v>
      </c>
      <c r="AB35" s="13" t="n">
        <f aca="false">SUM(O35:Z35)</f>
        <v>45371578</v>
      </c>
    </row>
    <row r="36" customFormat="false" ht="15" hidden="false" customHeight="false" outlineLevel="0" collapsed="false">
      <c r="A36" s="7" t="s">
        <v>35</v>
      </c>
      <c r="C36" s="12" t="n">
        <f aca="false">C34-C35</f>
        <v>0</v>
      </c>
      <c r="D36" s="12" t="n">
        <f aca="false">D34-D35</f>
        <v>0</v>
      </c>
      <c r="E36" s="12" t="n">
        <f aca="false">E34-E35</f>
        <v>0</v>
      </c>
      <c r="F36" s="12" t="n">
        <f aca="false">F34-F35</f>
        <v>0</v>
      </c>
      <c r="G36" s="12" t="n">
        <f aca="false">G34-G35</f>
        <v>0</v>
      </c>
      <c r="H36" s="12" t="n">
        <f aca="false">H34-H35</f>
        <v>0</v>
      </c>
      <c r="I36" s="12" t="n">
        <f aca="false">I34-I35</f>
        <v>0</v>
      </c>
      <c r="J36" s="12" t="n">
        <f aca="false">J34-J35</f>
        <v>0</v>
      </c>
      <c r="K36" s="12" t="n">
        <f aca="false">K34-K35</f>
        <v>7487480</v>
      </c>
      <c r="L36" s="12" t="n">
        <f aca="false">L34-L35</f>
        <v>4890261</v>
      </c>
      <c r="M36" s="12" t="n">
        <f aca="false">M34-M35</f>
        <v>4913659</v>
      </c>
      <c r="N36" s="12" t="n">
        <f aca="false">N34-N35</f>
        <v>4211707</v>
      </c>
      <c r="O36" s="12" t="n">
        <f aca="false">O34-O35</f>
        <v>5147642</v>
      </c>
      <c r="P36" s="12" t="n">
        <f aca="false">P34-P35</f>
        <v>5615610</v>
      </c>
      <c r="Q36" s="12" t="n">
        <f aca="false">Q34-Q35</f>
        <v>4445691</v>
      </c>
      <c r="R36" s="12" t="n">
        <f aca="false">R34-R35</f>
        <v>4445691</v>
      </c>
      <c r="S36" s="12" t="n">
        <f aca="false">S34-S35</f>
        <v>4445691</v>
      </c>
      <c r="T36" s="12" t="n">
        <f aca="false">T34-T35</f>
        <v>5147642</v>
      </c>
      <c r="U36" s="12" t="n">
        <f aca="false">U34-U35</f>
        <v>3977724</v>
      </c>
      <c r="V36" s="12" t="n">
        <f aca="false">V34-V35</f>
        <v>3977724</v>
      </c>
      <c r="W36" s="12" t="n">
        <f aca="false">W34-W35</f>
        <v>4679675</v>
      </c>
      <c r="X36" s="12" t="n">
        <f aca="false">X34-X35</f>
        <v>4445691</v>
      </c>
      <c r="Y36" s="12" t="n">
        <f aca="false">Y34-Y35</f>
        <v>4913659</v>
      </c>
      <c r="Z36" s="12" t="n">
        <f aca="false">Z34-Z35</f>
        <v>4211707</v>
      </c>
      <c r="AA36" s="13" t="n">
        <f aca="false">SUM(C36:N36)</f>
        <v>21503107</v>
      </c>
      <c r="AB36" s="13" t="n">
        <f aca="false">SUM(O36:Z36)</f>
        <v>55454147</v>
      </c>
    </row>
    <row r="37" customFormat="false" ht="15" hidden="false" customHeight="false" outlineLevel="0" collapsed="false">
      <c r="A37" s="4" t="s">
        <v>36</v>
      </c>
      <c r="C37" s="12" t="n">
        <f aca="false">ROUND(C34*前提条件!$B$29,0)</f>
        <v>0</v>
      </c>
      <c r="D37" s="12" t="n">
        <f aca="false">ROUND(D34*前提条件!$B$29,0)</f>
        <v>0</v>
      </c>
      <c r="E37" s="12" t="n">
        <f aca="false">ROUND(E34*前提条件!$B$29,0)</f>
        <v>0</v>
      </c>
      <c r="F37" s="12" t="n">
        <f aca="false">ROUND(F34*前提条件!$B$29,0)</f>
        <v>0</v>
      </c>
      <c r="G37" s="12" t="n">
        <f aca="false">ROUND(G34*前提条件!$B$29,0)</f>
        <v>0</v>
      </c>
      <c r="H37" s="12" t="n">
        <f aca="false">ROUND(H34*前提条件!$B$29,0)</f>
        <v>0</v>
      </c>
      <c r="I37" s="12" t="n">
        <f aca="false">ROUND(I34*前提条件!$B$29,0)</f>
        <v>0</v>
      </c>
      <c r="J37" s="12" t="n">
        <f aca="false">ROUND(J34*前提条件!$B$29,0)</f>
        <v>0</v>
      </c>
      <c r="K37" s="12" t="n">
        <f aca="false">ROUND(K34*前提条件!$B$29,0)</f>
        <v>680680</v>
      </c>
      <c r="L37" s="12" t="n">
        <f aca="false">ROUND(L34*前提条件!$B$29,0)</f>
        <v>444569</v>
      </c>
      <c r="M37" s="12" t="n">
        <f aca="false">ROUND(M34*前提条件!$B$29,0)</f>
        <v>446696</v>
      </c>
      <c r="N37" s="12" t="n">
        <f aca="false">ROUND(N34*前提条件!$B$29,0)</f>
        <v>382883</v>
      </c>
      <c r="O37" s="12" t="n">
        <f aca="false">ROUND(O34*前提条件!$B$29,0)</f>
        <v>467968</v>
      </c>
      <c r="P37" s="12" t="n">
        <f aca="false">ROUND(P34*前提条件!$B$29,0)</f>
        <v>510510</v>
      </c>
      <c r="Q37" s="12" t="n">
        <f aca="false">ROUND(Q34*前提条件!$B$29,0)</f>
        <v>404154</v>
      </c>
      <c r="R37" s="12" t="n">
        <f aca="false">ROUND(R34*前提条件!$B$29,0)</f>
        <v>404154</v>
      </c>
      <c r="S37" s="12" t="n">
        <f aca="false">ROUND(S34*前提条件!$B$29,0)</f>
        <v>404154</v>
      </c>
      <c r="T37" s="12" t="n">
        <f aca="false">ROUND(T34*前提条件!$B$29,0)</f>
        <v>467968</v>
      </c>
      <c r="U37" s="12" t="n">
        <f aca="false">ROUND(U34*前提条件!$B$29,0)</f>
        <v>361611</v>
      </c>
      <c r="V37" s="12" t="n">
        <f aca="false">ROUND(V34*前提条件!$B$29,0)</f>
        <v>361611</v>
      </c>
      <c r="W37" s="12" t="n">
        <f aca="false">ROUND(W34*前提条件!$B$29,0)</f>
        <v>425425</v>
      </c>
      <c r="X37" s="12" t="n">
        <f aca="false">ROUND(X34*前提条件!$B$29,0)</f>
        <v>404154</v>
      </c>
      <c r="Y37" s="12" t="n">
        <f aca="false">ROUND(Y34*前提条件!$B$29,0)</f>
        <v>446696</v>
      </c>
      <c r="Z37" s="12" t="n">
        <f aca="false">ROUND(Z34*前提条件!$B$29,0)</f>
        <v>382883</v>
      </c>
      <c r="AA37" s="13" t="n">
        <f aca="false">SUM(C37:N37)</f>
        <v>1954828</v>
      </c>
      <c r="AB37" s="13" t="n">
        <f aca="false">SUM(O37:Z37)</f>
        <v>5041288</v>
      </c>
    </row>
    <row r="38" customFormat="false" ht="15" hidden="false" customHeight="false" outlineLevel="0" collapsed="false">
      <c r="A38" s="4" t="s">
        <v>37</v>
      </c>
      <c r="C38" s="12" t="n">
        <f aca="false">IF(C$3&gt;=前提条件!$B$25,前提条件!$D$34,0)</f>
        <v>0</v>
      </c>
      <c r="D38" s="12" t="n">
        <f aca="false">IF(D$3&gt;=前提条件!$B$25,前提条件!$D$34,0)</f>
        <v>0</v>
      </c>
      <c r="E38" s="12" t="n">
        <f aca="false">IF(E$3&gt;=前提条件!$B$25,前提条件!$D$34,0)</f>
        <v>0</v>
      </c>
      <c r="F38" s="12" t="n">
        <f aca="false">IF(F$3&gt;=前提条件!$B$25,前提条件!$D$34,0)</f>
        <v>0</v>
      </c>
      <c r="G38" s="12" t="n">
        <f aca="false">IF(G$3&gt;=前提条件!$B$25,前提条件!$D$34,0)</f>
        <v>0</v>
      </c>
      <c r="H38" s="12" t="n">
        <f aca="false">IF(H$3&gt;=前提条件!$B$25,前提条件!$D$34,0)</f>
        <v>0</v>
      </c>
      <c r="I38" s="12" t="n">
        <f aca="false">IF(I$3&gt;=前提条件!$B$25,前提条件!$D$34,0)</f>
        <v>0</v>
      </c>
      <c r="J38" s="12" t="n">
        <f aca="false">IF(J$3&gt;=前提条件!$B$25,前提条件!$D$34,0)</f>
        <v>0</v>
      </c>
      <c r="K38" s="12" t="n">
        <f aca="false">IF(K$3&gt;=前提条件!$B$25,前提条件!$D$34,0)</f>
        <v>1000000</v>
      </c>
      <c r="L38" s="12" t="n">
        <f aca="false">IF(L$3&gt;=前提条件!$B$25,前提条件!$D$34,0)</f>
        <v>1000000</v>
      </c>
      <c r="M38" s="12" t="n">
        <f aca="false">IF(M$3&gt;=前提条件!$B$25,前提条件!$D$34,0)</f>
        <v>1000000</v>
      </c>
      <c r="N38" s="12" t="n">
        <f aca="false">IF(N$3&gt;=前提条件!$B$25,前提条件!$D$34,0)</f>
        <v>1000000</v>
      </c>
      <c r="O38" s="12" t="n">
        <f aca="false">IF(O$3&gt;=前提条件!$B$25,前提条件!$D$34,0)</f>
        <v>1000000</v>
      </c>
      <c r="P38" s="12" t="n">
        <f aca="false">IF(P$3&gt;=前提条件!$B$25,前提条件!$D$34,0)</f>
        <v>1000000</v>
      </c>
      <c r="Q38" s="12" t="n">
        <f aca="false">IF(Q$3&gt;=前提条件!$B$25,前提条件!$D$34,0)</f>
        <v>1000000</v>
      </c>
      <c r="R38" s="12" t="n">
        <f aca="false">IF(R$3&gt;=前提条件!$B$25,前提条件!$D$34,0)</f>
        <v>1000000</v>
      </c>
      <c r="S38" s="12" t="n">
        <f aca="false">IF(S$3&gt;=前提条件!$B$25,前提条件!$D$34,0)</f>
        <v>1000000</v>
      </c>
      <c r="T38" s="12" t="n">
        <f aca="false">IF(T$3&gt;=前提条件!$B$25,前提条件!$D$34,0)</f>
        <v>1000000</v>
      </c>
      <c r="U38" s="12" t="n">
        <f aca="false">IF(U$3&gt;=前提条件!$B$25,前提条件!$D$34,0)</f>
        <v>1000000</v>
      </c>
      <c r="V38" s="12" t="n">
        <f aca="false">IF(V$3&gt;=前提条件!$B$25,前提条件!$D$34,0)</f>
        <v>1000000</v>
      </c>
      <c r="W38" s="12" t="n">
        <f aca="false">IF(W$3&gt;=前提条件!$B$25,前提条件!$D$34,0)</f>
        <v>1000000</v>
      </c>
      <c r="X38" s="12" t="n">
        <f aca="false">IF(X$3&gt;=前提条件!$B$25,前提条件!$D$34,0)</f>
        <v>1000000</v>
      </c>
      <c r="Y38" s="12" t="n">
        <f aca="false">IF(Y$3&gt;=前提条件!$B$25,前提条件!$D$34,0)</f>
        <v>1000000</v>
      </c>
      <c r="Z38" s="12" t="n">
        <f aca="false">IF(Z$3&gt;=前提条件!$B$25,前提条件!$D$34,0)</f>
        <v>1000000</v>
      </c>
      <c r="AA38" s="13" t="n">
        <f aca="false">SUM(C38:N38)</f>
        <v>4000000</v>
      </c>
      <c r="AB38" s="13" t="n">
        <f aca="false">SUM(O38:Z38)</f>
        <v>12000000</v>
      </c>
    </row>
    <row r="39" customFormat="false" ht="15" hidden="false" customHeight="false" outlineLevel="0" collapsed="false">
      <c r="A39" s="4" t="s">
        <v>38</v>
      </c>
      <c r="C39" s="12" t="n">
        <f aca="false">IF(C$3&gt;=前提条件!$B$25,前提条件!$D$35,0)</f>
        <v>0</v>
      </c>
      <c r="D39" s="12" t="n">
        <f aca="false">IF(D$3&gt;=前提条件!$B$25,前提条件!$D$35,0)</f>
        <v>0</v>
      </c>
      <c r="E39" s="12" t="n">
        <f aca="false">IF(E$3&gt;=前提条件!$B$25,前提条件!$D$35,0)</f>
        <v>0</v>
      </c>
      <c r="F39" s="12" t="n">
        <f aca="false">IF(F$3&gt;=前提条件!$B$25,前提条件!$D$35,0)</f>
        <v>0</v>
      </c>
      <c r="G39" s="12" t="n">
        <f aca="false">IF(G$3&gt;=前提条件!$B$25,前提条件!$D$35,0)</f>
        <v>0</v>
      </c>
      <c r="H39" s="12" t="n">
        <f aca="false">IF(H$3&gt;=前提条件!$B$25,前提条件!$D$35,0)</f>
        <v>0</v>
      </c>
      <c r="I39" s="12" t="n">
        <f aca="false">IF(I$3&gt;=前提条件!$B$25,前提条件!$D$35,0)</f>
        <v>0</v>
      </c>
      <c r="J39" s="12" t="n">
        <f aca="false">IF(J$3&gt;=前提条件!$B$25,前提条件!$D$35,0)</f>
        <v>0</v>
      </c>
      <c r="K39" s="12" t="n">
        <f aca="false">IF(K$3&gt;=前提条件!$B$25,前提条件!$D$35,0)</f>
        <v>1500000</v>
      </c>
      <c r="L39" s="12" t="n">
        <f aca="false">IF(L$3&gt;=前提条件!$B$25,前提条件!$D$35,0)</f>
        <v>1500000</v>
      </c>
      <c r="M39" s="12" t="n">
        <f aca="false">IF(M$3&gt;=前提条件!$B$25,前提条件!$D$35,0)</f>
        <v>1500000</v>
      </c>
      <c r="N39" s="12" t="n">
        <f aca="false">IF(N$3&gt;=前提条件!$B$25,前提条件!$D$35,0)</f>
        <v>1500000</v>
      </c>
      <c r="O39" s="12" t="n">
        <f aca="false">IF(O$3&gt;=前提条件!$B$25,前提条件!$D$35,0)</f>
        <v>1500000</v>
      </c>
      <c r="P39" s="12" t="n">
        <f aca="false">IF(P$3&gt;=前提条件!$B$25,前提条件!$D$35,0)</f>
        <v>1500000</v>
      </c>
      <c r="Q39" s="12" t="n">
        <f aca="false">IF(Q$3&gt;=前提条件!$B$25,前提条件!$D$35,0)</f>
        <v>1500000</v>
      </c>
      <c r="R39" s="12" t="n">
        <f aca="false">IF(R$3&gt;=前提条件!$B$25,前提条件!$D$35,0)</f>
        <v>1500000</v>
      </c>
      <c r="S39" s="12" t="n">
        <f aca="false">IF(S$3&gt;=前提条件!$B$25,前提条件!$D$35,0)</f>
        <v>1500000</v>
      </c>
      <c r="T39" s="12" t="n">
        <f aca="false">IF(T$3&gt;=前提条件!$B$25,前提条件!$D$35,0)</f>
        <v>1500000</v>
      </c>
      <c r="U39" s="12" t="n">
        <f aca="false">IF(U$3&gt;=前提条件!$B$25,前提条件!$D$35,0)</f>
        <v>1500000</v>
      </c>
      <c r="V39" s="12" t="n">
        <f aca="false">IF(V$3&gt;=前提条件!$B$25,前提条件!$D$35,0)</f>
        <v>1500000</v>
      </c>
      <c r="W39" s="12" t="n">
        <f aca="false">IF(W$3&gt;=前提条件!$B$25,前提条件!$D$35,0)</f>
        <v>1500000</v>
      </c>
      <c r="X39" s="12" t="n">
        <f aca="false">IF(X$3&gt;=前提条件!$B$25,前提条件!$D$35,0)</f>
        <v>1500000</v>
      </c>
      <c r="Y39" s="12" t="n">
        <f aca="false">IF(Y$3&gt;=前提条件!$B$25,前提条件!$D$35,0)</f>
        <v>1500000</v>
      </c>
      <c r="Z39" s="12" t="n">
        <f aca="false">IF(Z$3&gt;=前提条件!$B$25,前提条件!$D$35,0)</f>
        <v>1500000</v>
      </c>
      <c r="AA39" s="13" t="n">
        <f aca="false">SUM(C39:N39)</f>
        <v>6000000</v>
      </c>
      <c r="AB39" s="13" t="n">
        <f aca="false">SUM(O39:Z39)</f>
        <v>18000000</v>
      </c>
    </row>
    <row r="40" customFormat="false" ht="15" hidden="false" customHeight="false" outlineLevel="0" collapsed="false">
      <c r="A40" s="4" t="s">
        <v>39</v>
      </c>
      <c r="C40" s="12" t="n">
        <f aca="false">IF(C$3&gt;=前提条件!$B$25,前提条件!$D$36,0)</f>
        <v>0</v>
      </c>
      <c r="D40" s="12" t="n">
        <f aca="false">IF(D$3&gt;=前提条件!$B$25,前提条件!$D$36,0)</f>
        <v>0</v>
      </c>
      <c r="E40" s="12" t="n">
        <f aca="false">IF(E$3&gt;=前提条件!$B$25,前提条件!$D$36,0)</f>
        <v>0</v>
      </c>
      <c r="F40" s="12" t="n">
        <f aca="false">IF(F$3&gt;=前提条件!$B$25,前提条件!$D$36,0)</f>
        <v>0</v>
      </c>
      <c r="G40" s="12" t="n">
        <f aca="false">IF(G$3&gt;=前提条件!$B$25,前提条件!$D$36,0)</f>
        <v>0</v>
      </c>
      <c r="H40" s="12" t="n">
        <f aca="false">IF(H$3&gt;=前提条件!$B$25,前提条件!$D$36,0)</f>
        <v>0</v>
      </c>
      <c r="I40" s="12" t="n">
        <f aca="false">IF(I$3&gt;=前提条件!$B$25,前提条件!$D$36,0)</f>
        <v>0</v>
      </c>
      <c r="J40" s="12" t="n">
        <f aca="false">IF(J$3&gt;=前提条件!$B$25,前提条件!$D$36,0)</f>
        <v>0</v>
      </c>
      <c r="K40" s="12" t="n">
        <f aca="false">IF(K$3&gt;=前提条件!$B$25,前提条件!$D$36,0)</f>
        <v>800000</v>
      </c>
      <c r="L40" s="12" t="n">
        <f aca="false">IF(L$3&gt;=前提条件!$B$25,前提条件!$D$36,0)</f>
        <v>800000</v>
      </c>
      <c r="M40" s="12" t="n">
        <f aca="false">IF(M$3&gt;=前提条件!$B$25,前提条件!$D$36,0)</f>
        <v>800000</v>
      </c>
      <c r="N40" s="12" t="n">
        <f aca="false">IF(N$3&gt;=前提条件!$B$25,前提条件!$D$36,0)</f>
        <v>800000</v>
      </c>
      <c r="O40" s="12" t="n">
        <f aca="false">IF(O$3&gt;=前提条件!$B$25,前提条件!$D$36,0)</f>
        <v>800000</v>
      </c>
      <c r="P40" s="12" t="n">
        <f aca="false">IF(P$3&gt;=前提条件!$B$25,前提条件!$D$36,0)</f>
        <v>800000</v>
      </c>
      <c r="Q40" s="12" t="n">
        <f aca="false">IF(Q$3&gt;=前提条件!$B$25,前提条件!$D$36,0)</f>
        <v>800000</v>
      </c>
      <c r="R40" s="12" t="n">
        <f aca="false">IF(R$3&gt;=前提条件!$B$25,前提条件!$D$36,0)</f>
        <v>800000</v>
      </c>
      <c r="S40" s="12" t="n">
        <f aca="false">IF(S$3&gt;=前提条件!$B$25,前提条件!$D$36,0)</f>
        <v>800000</v>
      </c>
      <c r="T40" s="12" t="n">
        <f aca="false">IF(T$3&gt;=前提条件!$B$25,前提条件!$D$36,0)</f>
        <v>800000</v>
      </c>
      <c r="U40" s="12" t="n">
        <f aca="false">IF(U$3&gt;=前提条件!$B$25,前提条件!$D$36,0)</f>
        <v>800000</v>
      </c>
      <c r="V40" s="12" t="n">
        <f aca="false">IF(V$3&gt;=前提条件!$B$25,前提条件!$D$36,0)</f>
        <v>800000</v>
      </c>
      <c r="W40" s="12" t="n">
        <f aca="false">IF(W$3&gt;=前提条件!$B$25,前提条件!$D$36,0)</f>
        <v>800000</v>
      </c>
      <c r="X40" s="12" t="n">
        <f aca="false">IF(X$3&gt;=前提条件!$B$25,前提条件!$D$36,0)</f>
        <v>800000</v>
      </c>
      <c r="Y40" s="12" t="n">
        <f aca="false">IF(Y$3&gt;=前提条件!$B$25,前提条件!$D$36,0)</f>
        <v>800000</v>
      </c>
      <c r="Z40" s="12" t="n">
        <f aca="false">IF(Z$3&gt;=前提条件!$B$25,前提条件!$D$36,0)</f>
        <v>800000</v>
      </c>
      <c r="AA40" s="13" t="n">
        <f aca="false">SUM(C40:N40)</f>
        <v>3200000</v>
      </c>
      <c r="AB40" s="13" t="n">
        <f aca="false">SUM(O40:Z40)</f>
        <v>9600000</v>
      </c>
    </row>
    <row r="41" customFormat="false" ht="15" hidden="false" customHeight="false" outlineLevel="0" collapsed="false">
      <c r="A41" s="4" t="s">
        <v>40</v>
      </c>
      <c r="C41" s="12" t="n">
        <f aca="false">ROUND(C34*前提条件!$B$30,0)+IF(C$3&gt;=前提条件!$B$25,前提条件!$D$37,0)</f>
        <v>0</v>
      </c>
      <c r="D41" s="12" t="n">
        <f aca="false">ROUND(D34*前提条件!$B$30,0)+IF(D$3&gt;=前提条件!$B$25,前提条件!$D$37,0)</f>
        <v>0</v>
      </c>
      <c r="E41" s="12" t="n">
        <f aca="false">ROUND(E34*前提条件!$B$30,0)+IF(E$3&gt;=前提条件!$B$25,前提条件!$D$37,0)</f>
        <v>0</v>
      </c>
      <c r="F41" s="12" t="n">
        <f aca="false">ROUND(F34*前提条件!$B$30,0)+IF(F$3&gt;=前提条件!$B$25,前提条件!$D$37,0)</f>
        <v>0</v>
      </c>
      <c r="G41" s="12" t="n">
        <f aca="false">ROUND(G34*前提条件!$B$30,0)+IF(G$3&gt;=前提条件!$B$25,前提条件!$D$37,0)</f>
        <v>0</v>
      </c>
      <c r="H41" s="12" t="n">
        <f aca="false">ROUND(H34*前提条件!$B$30,0)+IF(H$3&gt;=前提条件!$B$25,前提条件!$D$37,0)</f>
        <v>0</v>
      </c>
      <c r="I41" s="12" t="n">
        <f aca="false">ROUND(I34*前提条件!$B$30,0)+IF(I$3&gt;=前提条件!$B$25,前提条件!$D$37,0)</f>
        <v>0</v>
      </c>
      <c r="J41" s="12" t="n">
        <f aca="false">ROUND(J34*前提条件!$B$30,0)+IF(J$3&gt;=前提条件!$B$25,前提条件!$D$37,0)</f>
        <v>0</v>
      </c>
      <c r="K41" s="12" t="n">
        <f aca="false">ROUND(K34*前提条件!$B$30,0)+IF(K$3&gt;=前提条件!$B$25,前提条件!$D$37,0)</f>
        <v>944544</v>
      </c>
      <c r="L41" s="12" t="n">
        <f aca="false">ROUND(L34*前提条件!$B$30,0)+IF(L$3&gt;=前提条件!$B$25,前提条件!$D$37,0)</f>
        <v>755655</v>
      </c>
      <c r="M41" s="12" t="n">
        <f aca="false">ROUND(M34*前提条件!$B$30,0)+IF(M$3&gt;=前提条件!$B$25,前提条件!$D$37,0)</f>
        <v>757357</v>
      </c>
      <c r="N41" s="12" t="n">
        <f aca="false">ROUND(N34*前提条件!$B$30,0)+IF(N$3&gt;=前提条件!$B$25,前提条件!$D$37,0)</f>
        <v>706306</v>
      </c>
      <c r="O41" s="12" t="n">
        <f aca="false">ROUND(O34*前提条件!$B$30,0)+IF(O$3&gt;=前提条件!$B$25,前提条件!$D$37,0)</f>
        <v>774374</v>
      </c>
      <c r="P41" s="12" t="n">
        <f aca="false">ROUND(P34*前提条件!$B$30,0)+IF(P$3&gt;=前提条件!$B$25,前提条件!$D$37,0)</f>
        <v>808408</v>
      </c>
      <c r="Q41" s="12" t="n">
        <f aca="false">ROUND(Q34*前提条件!$B$30,0)+IF(Q$3&gt;=前提条件!$B$25,前提条件!$D$37,0)</f>
        <v>723323</v>
      </c>
      <c r="R41" s="12" t="n">
        <f aca="false">ROUND(R34*前提条件!$B$30,0)+IF(R$3&gt;=前提条件!$B$25,前提条件!$D$37,0)</f>
        <v>723323</v>
      </c>
      <c r="S41" s="12" t="n">
        <f aca="false">ROUND(S34*前提条件!$B$30,0)+IF(S$3&gt;=前提条件!$B$25,前提条件!$D$37,0)</f>
        <v>723323</v>
      </c>
      <c r="T41" s="12" t="n">
        <f aca="false">ROUND(T34*前提条件!$B$30,0)+IF(T$3&gt;=前提条件!$B$25,前提条件!$D$37,0)</f>
        <v>774374</v>
      </c>
      <c r="U41" s="12" t="n">
        <f aca="false">ROUND(U34*前提条件!$B$30,0)+IF(U$3&gt;=前提条件!$B$25,前提条件!$D$37,0)</f>
        <v>689289</v>
      </c>
      <c r="V41" s="12" t="n">
        <f aca="false">ROUND(V34*前提条件!$B$30,0)+IF(V$3&gt;=前提条件!$B$25,前提条件!$D$37,0)</f>
        <v>689289</v>
      </c>
      <c r="W41" s="12" t="n">
        <f aca="false">ROUND(W34*前提条件!$B$30,0)+IF(W$3&gt;=前提条件!$B$25,前提条件!$D$37,0)</f>
        <v>740340</v>
      </c>
      <c r="X41" s="12" t="n">
        <f aca="false">ROUND(X34*前提条件!$B$30,0)+IF(X$3&gt;=前提条件!$B$25,前提条件!$D$37,0)</f>
        <v>723323</v>
      </c>
      <c r="Y41" s="12" t="n">
        <f aca="false">ROUND(Y34*前提条件!$B$30,0)+IF(Y$3&gt;=前提条件!$B$25,前提条件!$D$37,0)</f>
        <v>757357</v>
      </c>
      <c r="Z41" s="12" t="n">
        <f aca="false">ROUND(Z34*前提条件!$B$30,0)+IF(Z$3&gt;=前提条件!$B$25,前提条件!$D$37,0)</f>
        <v>706306</v>
      </c>
      <c r="AA41" s="13" t="n">
        <f aca="false">SUM(C41:N41)</f>
        <v>3163862</v>
      </c>
      <c r="AB41" s="13" t="n">
        <f aca="false">SUM(O41:Z41)</f>
        <v>8833029</v>
      </c>
    </row>
    <row r="42" customFormat="false" ht="15" hidden="false" customHeight="false" outlineLevel="0" collapsed="false">
      <c r="A42" s="4" t="s">
        <v>41</v>
      </c>
      <c r="C42" s="12" t="n">
        <f aca="false">IF(C$3&gt;=前提条件!$B$25,ROUND(前提条件!$D$38/(前提条件!$B$39*12),0),0)</f>
        <v>0</v>
      </c>
      <c r="D42" s="12" t="n">
        <f aca="false">IF(D$3&gt;=前提条件!$B$25,ROUND(前提条件!$D$38/(前提条件!$B$39*12),0),0)</f>
        <v>0</v>
      </c>
      <c r="E42" s="12" t="n">
        <f aca="false">IF(E$3&gt;=前提条件!$B$25,ROUND(前提条件!$D$38/(前提条件!$B$39*12),0),0)</f>
        <v>0</v>
      </c>
      <c r="F42" s="12" t="n">
        <f aca="false">IF(F$3&gt;=前提条件!$B$25,ROUND(前提条件!$D$38/(前提条件!$B$39*12),0),0)</f>
        <v>0</v>
      </c>
      <c r="G42" s="12" t="n">
        <f aca="false">IF(G$3&gt;=前提条件!$B$25,ROUND(前提条件!$D$38/(前提条件!$B$39*12),0),0)</f>
        <v>0</v>
      </c>
      <c r="H42" s="12" t="n">
        <f aca="false">IF(H$3&gt;=前提条件!$B$25,ROUND(前提条件!$D$38/(前提条件!$B$39*12),0),0)</f>
        <v>0</v>
      </c>
      <c r="I42" s="12" t="n">
        <f aca="false">IF(I$3&gt;=前提条件!$B$25,ROUND(前提条件!$D$38/(前提条件!$B$39*12),0),0)</f>
        <v>0</v>
      </c>
      <c r="J42" s="12" t="n">
        <f aca="false">IF(J$3&gt;=前提条件!$B$25,ROUND(前提条件!$D$38/(前提条件!$B$39*12),0),0)</f>
        <v>0</v>
      </c>
      <c r="K42" s="12" t="n">
        <f aca="false">IF(K$3&gt;=前提条件!$B$25,ROUND(前提条件!$D$38/(前提条件!$B$39*12),0),0)</f>
        <v>333333</v>
      </c>
      <c r="L42" s="12" t="n">
        <f aca="false">IF(L$3&gt;=前提条件!$B$25,ROUND(前提条件!$D$38/(前提条件!$B$39*12),0),0)</f>
        <v>333333</v>
      </c>
      <c r="M42" s="12" t="n">
        <f aca="false">IF(M$3&gt;=前提条件!$B$25,ROUND(前提条件!$D$38/(前提条件!$B$39*12),0),0)</f>
        <v>333333</v>
      </c>
      <c r="N42" s="12" t="n">
        <f aca="false">IF(N$3&gt;=前提条件!$B$25,ROUND(前提条件!$D$38/(前提条件!$B$39*12),0),0)</f>
        <v>333333</v>
      </c>
      <c r="O42" s="12" t="n">
        <f aca="false">IF(O$3&gt;=前提条件!$B$25,ROUND(前提条件!$D$38/(前提条件!$B$39*12),0),0)</f>
        <v>333333</v>
      </c>
      <c r="P42" s="12" t="n">
        <f aca="false">IF(P$3&gt;=前提条件!$B$25,ROUND(前提条件!$D$38/(前提条件!$B$39*12),0),0)</f>
        <v>333333</v>
      </c>
      <c r="Q42" s="12" t="n">
        <f aca="false">IF(Q$3&gt;=前提条件!$B$25,ROUND(前提条件!$D$38/(前提条件!$B$39*12),0),0)</f>
        <v>333333</v>
      </c>
      <c r="R42" s="12" t="n">
        <f aca="false">IF(R$3&gt;=前提条件!$B$25,ROUND(前提条件!$D$38/(前提条件!$B$39*12),0),0)</f>
        <v>333333</v>
      </c>
      <c r="S42" s="12" t="n">
        <f aca="false">IF(S$3&gt;=前提条件!$B$25,ROUND(前提条件!$D$38/(前提条件!$B$39*12),0),0)</f>
        <v>333333</v>
      </c>
      <c r="T42" s="12" t="n">
        <f aca="false">IF(T$3&gt;=前提条件!$B$25,ROUND(前提条件!$D$38/(前提条件!$B$39*12),0),0)</f>
        <v>333333</v>
      </c>
      <c r="U42" s="12" t="n">
        <f aca="false">IF(U$3&gt;=前提条件!$B$25,ROUND(前提条件!$D$38/(前提条件!$B$39*12),0),0)</f>
        <v>333333</v>
      </c>
      <c r="V42" s="12" t="n">
        <f aca="false">IF(V$3&gt;=前提条件!$B$25,ROUND(前提条件!$D$38/(前提条件!$B$39*12),0),0)</f>
        <v>333333</v>
      </c>
      <c r="W42" s="12" t="n">
        <f aca="false">IF(W$3&gt;=前提条件!$B$25,ROUND(前提条件!$D$38/(前提条件!$B$39*12),0),0)</f>
        <v>333333</v>
      </c>
      <c r="X42" s="12" t="n">
        <f aca="false">IF(X$3&gt;=前提条件!$B$25,ROUND(前提条件!$D$38/(前提条件!$B$39*12),0),0)</f>
        <v>333333</v>
      </c>
      <c r="Y42" s="12" t="n">
        <f aca="false">IF(Y$3&gt;=前提条件!$B$25,ROUND(前提条件!$D$38/(前提条件!$B$39*12),0),0)</f>
        <v>333333</v>
      </c>
      <c r="Z42" s="12" t="n">
        <f aca="false">IF(Z$3&gt;=前提条件!$B$25,ROUND(前提条件!$D$38/(前提条件!$B$39*12),0),0)</f>
        <v>333333</v>
      </c>
      <c r="AA42" s="13" t="n">
        <f aca="false">SUM(C42:N42)</f>
        <v>1333332</v>
      </c>
      <c r="AB42" s="13" t="n">
        <f aca="false">SUM(O42:Z42)</f>
        <v>3999996</v>
      </c>
    </row>
    <row r="43" customFormat="false" ht="15" hidden="false" customHeight="false" outlineLevel="0" collapsed="false">
      <c r="A43" s="7" t="s">
        <v>42</v>
      </c>
      <c r="C43" s="12" t="n">
        <f aca="false">C36-SUM(C37:C42)</f>
        <v>0</v>
      </c>
      <c r="D43" s="12" t="n">
        <f aca="false">D36-SUM(D37:D42)</f>
        <v>0</v>
      </c>
      <c r="E43" s="12" t="n">
        <f aca="false">E36-SUM(E37:E42)</f>
        <v>0</v>
      </c>
      <c r="F43" s="12" t="n">
        <f aca="false">F36-SUM(F37:F42)</f>
        <v>0</v>
      </c>
      <c r="G43" s="12" t="n">
        <f aca="false">G36-SUM(G37:G42)</f>
        <v>0</v>
      </c>
      <c r="H43" s="12" t="n">
        <f aca="false">H36-SUM(H37:H42)</f>
        <v>0</v>
      </c>
      <c r="I43" s="12" t="n">
        <f aca="false">I36-SUM(I37:I42)</f>
        <v>0</v>
      </c>
      <c r="J43" s="12" t="n">
        <f aca="false">J36-SUM(J37:J42)</f>
        <v>0</v>
      </c>
      <c r="K43" s="12" t="n">
        <f aca="false">K36-SUM(K37:K42)</f>
        <v>2228923</v>
      </c>
      <c r="L43" s="12" t="n">
        <f aca="false">L36-SUM(L37:L42)</f>
        <v>56704</v>
      </c>
      <c r="M43" s="12" t="n">
        <f aca="false">M36-SUM(M37:M42)</f>
        <v>76273</v>
      </c>
      <c r="N43" s="12" t="n">
        <f aca="false">N36-SUM(N37:N42)</f>
        <v>-510815</v>
      </c>
      <c r="O43" s="12" t="n">
        <f aca="false">O36-SUM(O37:O42)</f>
        <v>271967</v>
      </c>
      <c r="P43" s="12" t="n">
        <f aca="false">P36-SUM(P37:P42)</f>
        <v>663359</v>
      </c>
      <c r="Q43" s="12" t="n">
        <f aca="false">Q36-SUM(Q37:Q42)</f>
        <v>-315119</v>
      </c>
      <c r="R43" s="12" t="n">
        <f aca="false">R36-SUM(R37:R42)</f>
        <v>-315119</v>
      </c>
      <c r="S43" s="12" t="n">
        <f aca="false">S36-SUM(S37:S42)</f>
        <v>-315119</v>
      </c>
      <c r="T43" s="12" t="n">
        <f aca="false">T36-SUM(T37:T42)</f>
        <v>271967</v>
      </c>
      <c r="U43" s="12" t="n">
        <f aca="false">U36-SUM(U37:U42)</f>
        <v>-706509</v>
      </c>
      <c r="V43" s="12" t="n">
        <f aca="false">V36-SUM(V37:V42)</f>
        <v>-706509</v>
      </c>
      <c r="W43" s="12" t="n">
        <f aca="false">W36-SUM(W37:W42)</f>
        <v>-119423</v>
      </c>
      <c r="X43" s="12" t="n">
        <f aca="false">X36-SUM(X37:X42)</f>
        <v>-315119</v>
      </c>
      <c r="Y43" s="12" t="n">
        <f aca="false">Y36-SUM(Y37:Y42)</f>
        <v>76273</v>
      </c>
      <c r="Z43" s="12" t="n">
        <f aca="false">Z36-SUM(Z37:Z42)</f>
        <v>-510815</v>
      </c>
      <c r="AA43" s="13" t="n">
        <f aca="false">SUM(C43:N43)</f>
        <v>1851085</v>
      </c>
      <c r="AB43" s="13" t="n">
        <f aca="false">SUM(O43:Z43)</f>
        <v>-2020166</v>
      </c>
    </row>
    <row r="44" customFormat="false" ht="15" hidden="false" customHeight="false" outlineLevel="0" collapsed="false">
      <c r="A44" s="4" t="s">
        <v>43</v>
      </c>
      <c r="C44" s="14" t="n">
        <f aca="false">IF(C34=0,0,C43/C34)</f>
        <v>0</v>
      </c>
      <c r="D44" s="14" t="n">
        <f aca="false">IF(D34=0,0,D43/D34)</f>
        <v>0</v>
      </c>
      <c r="E44" s="14" t="n">
        <f aca="false">IF(E34=0,0,E43/E34)</f>
        <v>0</v>
      </c>
      <c r="F44" s="14" t="n">
        <f aca="false">IF(F34=0,0,F43/F34)</f>
        <v>0</v>
      </c>
      <c r="G44" s="14" t="n">
        <f aca="false">IF(G34=0,0,G43/G34)</f>
        <v>0</v>
      </c>
      <c r="H44" s="14" t="n">
        <f aca="false">IF(H34=0,0,H43/H34)</f>
        <v>0</v>
      </c>
      <c r="I44" s="14" t="n">
        <f aca="false">IF(I34=0,0,I43/I34)</f>
        <v>0</v>
      </c>
      <c r="J44" s="14" t="n">
        <f aca="false">IF(J34=0,0,J43/J34)</f>
        <v>0</v>
      </c>
      <c r="K44" s="14" t="n">
        <f aca="false">IF(K34=0,0,K43/K34)</f>
        <v>0.163727669389434</v>
      </c>
      <c r="L44" s="14" t="n">
        <f aca="false">IF(L34=0,0,L43/L34)</f>
        <v>0.00637741057830936</v>
      </c>
      <c r="M44" s="14" t="n">
        <f aca="false">IF(M34=0,0,M43/M34)</f>
        <v>0.00853745694081829</v>
      </c>
      <c r="N44" s="14" t="n">
        <f aca="false">IF(N34=0,0,N43/N34)</f>
        <v>-0.0667064961182608</v>
      </c>
      <c r="O44" s="14" t="n">
        <f aca="false">IF(O34=0,0,O43/O34)</f>
        <v>0.0290583213577866</v>
      </c>
      <c r="P44" s="14" t="n">
        <f aca="false">IF(P34=0,0,P43/P34)</f>
        <v>0.0649702258525788</v>
      </c>
      <c r="Q44" s="14" t="n">
        <f aca="false">IF(Q34=0,0,Q43/Q34)</f>
        <v>-0.0389850397280738</v>
      </c>
      <c r="R44" s="14" t="n">
        <f aca="false">IF(R34=0,0,R43/R34)</f>
        <v>-0.0389850397280738</v>
      </c>
      <c r="S44" s="14" t="n">
        <f aca="false">IF(S34=0,0,S43/S34)</f>
        <v>-0.0389850397280738</v>
      </c>
      <c r="T44" s="14" t="n">
        <f aca="false">IF(T34=0,0,T43/T34)</f>
        <v>0.0290583213577866</v>
      </c>
      <c r="U44" s="14" t="n">
        <f aca="false">IF(U34=0,0,U43/U34)</f>
        <v>-0.0976890237789892</v>
      </c>
      <c r="V44" s="14" t="n">
        <f aca="false">IF(V34=0,0,V43/V34)</f>
        <v>-0.0976890237789892</v>
      </c>
      <c r="W44" s="14" t="n">
        <f aca="false">IF(W34=0,0,W43/W34)</f>
        <v>-0.0140357289769054</v>
      </c>
      <c r="X44" s="14" t="n">
        <f aca="false">IF(X34=0,0,X43/X34)</f>
        <v>-0.0389850397280738</v>
      </c>
      <c r="Y44" s="14" t="n">
        <f aca="false">IF(Y34=0,0,Y43/Y34)</f>
        <v>0.00853745694081829</v>
      </c>
      <c r="Z44" s="14" t="n">
        <f aca="false">IF(Z34=0,0,Z43/Z34)</f>
        <v>-0.0667064961182608</v>
      </c>
      <c r="AA44" s="26" t="n">
        <f aca="false">IF(AA34=0,0,AA43/AA34)</f>
        <v>0.0473464953104056</v>
      </c>
      <c r="AB44" s="26" t="n">
        <f aca="false">IF(AB34=0,0,AB43/AB34)</f>
        <v>-0.020036215955799</v>
      </c>
    </row>
    <row r="46" customFormat="false" ht="15" hidden="false" customHeight="false" outlineLevel="0" collapsed="false">
      <c r="A46" s="3" t="s">
        <v>150</v>
      </c>
    </row>
    <row r="47" customFormat="false" ht="15" hidden="false" customHeight="false" outlineLevel="0" collapsed="false">
      <c r="A47" s="7" t="s">
        <v>151</v>
      </c>
      <c r="C47" s="13" t="n">
        <f aca="false">C8+C21+C34</f>
        <v>17272258</v>
      </c>
      <c r="D47" s="13" t="n">
        <f aca="false">D8+D21+D34</f>
        <v>17278800</v>
      </c>
      <c r="E47" s="13" t="n">
        <f aca="false">E8+E21+E34</f>
        <v>12435500</v>
      </c>
      <c r="F47" s="13" t="n">
        <f aca="false">F8+F21+F34</f>
        <v>12435500</v>
      </c>
      <c r="G47" s="13" t="n">
        <f aca="false">G8+G21+G34</f>
        <v>29347780</v>
      </c>
      <c r="H47" s="13" t="n">
        <f aca="false">H8+H21+H34</f>
        <v>27862065</v>
      </c>
      <c r="I47" s="13" t="n">
        <f aca="false">I8+I21+I34</f>
        <v>20584025</v>
      </c>
      <c r="J47" s="13" t="n">
        <f aca="false">J8+J21+J34</f>
        <v>20584025</v>
      </c>
      <c r="K47" s="13" t="n">
        <f aca="false">K8+K21+K34</f>
        <v>37830100</v>
      </c>
      <c r="L47" s="13" t="n">
        <f aca="false">L8+L21+L34</f>
        <v>31897058</v>
      </c>
      <c r="M47" s="13" t="n">
        <f aca="false">M8+M21+M34</f>
        <v>34361250</v>
      </c>
      <c r="N47" s="13" t="n">
        <f aca="false">N8+N21+N34</f>
        <v>29452500</v>
      </c>
      <c r="O47" s="13" t="n">
        <f aca="false">O8+O21+O34</f>
        <v>35997500</v>
      </c>
      <c r="P47" s="13" t="n">
        <f aca="false">P8+P21+P34</f>
        <v>39270000</v>
      </c>
      <c r="Q47" s="13" t="n">
        <f aca="false">Q8+Q21+Q34</f>
        <v>31088750</v>
      </c>
      <c r="R47" s="13" t="n">
        <f aca="false">R8+R21+R34</f>
        <v>31088750</v>
      </c>
      <c r="S47" s="13" t="n">
        <f aca="false">S8+S21+S34</f>
        <v>31088750</v>
      </c>
      <c r="T47" s="13" t="n">
        <f aca="false">T8+T21+T34</f>
        <v>35997500</v>
      </c>
      <c r="U47" s="13" t="n">
        <f aca="false">U8+U21+U34</f>
        <v>27816250</v>
      </c>
      <c r="V47" s="13" t="n">
        <f aca="false">V8+V21+V34</f>
        <v>27816250</v>
      </c>
      <c r="W47" s="13" t="n">
        <f aca="false">W8+W21+W34</f>
        <v>32725000</v>
      </c>
      <c r="X47" s="13" t="n">
        <f aca="false">X8+X21+X34</f>
        <v>31088750</v>
      </c>
      <c r="Y47" s="13" t="n">
        <f aca="false">Y8+Y21+Y34</f>
        <v>34361250</v>
      </c>
      <c r="Z47" s="13" t="n">
        <f aca="false">Z8+Z21+Z34</f>
        <v>29452500</v>
      </c>
      <c r="AA47" s="13" t="n">
        <f aca="false">SUM(C47:N47)</f>
        <v>291340861</v>
      </c>
      <c r="AB47" s="13" t="n">
        <f aca="false">SUM(O47:Z47)</f>
        <v>387791250</v>
      </c>
    </row>
    <row r="48" customFormat="false" ht="15" hidden="false" customHeight="false" outlineLevel="0" collapsed="false">
      <c r="A48" s="4" t="s">
        <v>29</v>
      </c>
      <c r="C48" s="12" t="n">
        <f aca="false">C17+C30+C43</f>
        <v>2545239</v>
      </c>
      <c r="D48" s="12" t="n">
        <f aca="false">D17+D30+D43</f>
        <v>2548248</v>
      </c>
      <c r="E48" s="12" t="n">
        <f aca="false">E17+E30+E43</f>
        <v>320330</v>
      </c>
      <c r="F48" s="12" t="n">
        <f aca="false">F17+F30+F43</f>
        <v>320330</v>
      </c>
      <c r="G48" s="12" t="n">
        <f aca="false">G17+G30+G43</f>
        <v>3283312</v>
      </c>
      <c r="H48" s="12" t="n">
        <f aca="false">H17+H30+H43</f>
        <v>2599883</v>
      </c>
      <c r="I48" s="12" t="n">
        <f aca="false">I17+I30+I43</f>
        <v>-748015</v>
      </c>
      <c r="J48" s="12" t="n">
        <f aca="false">J17+J30+J43</f>
        <v>-748015</v>
      </c>
      <c r="K48" s="12" t="n">
        <f aca="false">K17+K30+K43</f>
        <v>3151846</v>
      </c>
      <c r="L48" s="12" t="n">
        <f aca="false">L17+L30+L43</f>
        <v>422647</v>
      </c>
      <c r="M48" s="12" t="n">
        <f aca="false">M17+M30+M43</f>
        <v>1556176</v>
      </c>
      <c r="N48" s="12" t="n">
        <f aca="false">N17+N30+N43</f>
        <v>-701852</v>
      </c>
      <c r="O48" s="12" t="n">
        <f aca="false">O17+O30+O43</f>
        <v>2308848</v>
      </c>
      <c r="P48" s="12" t="n">
        <f aca="false">P17+P30+P43</f>
        <v>3814200</v>
      </c>
      <c r="Q48" s="12" t="n">
        <f aca="false">Q17+Q30+Q43</f>
        <v>50824</v>
      </c>
      <c r="R48" s="12" t="n">
        <f aca="false">R17+R30+R43</f>
        <v>50824</v>
      </c>
      <c r="S48" s="12" t="n">
        <f aca="false">S17+S30+S43</f>
        <v>50824</v>
      </c>
      <c r="T48" s="12" t="n">
        <f aca="false">T17+T30+T43</f>
        <v>2308848</v>
      </c>
      <c r="U48" s="12" t="n">
        <f aca="false">U17+U30+U43</f>
        <v>-1454524</v>
      </c>
      <c r="V48" s="12" t="n">
        <f aca="false">V17+V30+V43</f>
        <v>-1454524</v>
      </c>
      <c r="W48" s="12" t="n">
        <f aca="false">W17+W30+W43</f>
        <v>803500</v>
      </c>
      <c r="X48" s="12" t="n">
        <f aca="false">X17+X30+X43</f>
        <v>50824</v>
      </c>
      <c r="Y48" s="12" t="n">
        <f aca="false">Y17+Y30+Y43</f>
        <v>1556176</v>
      </c>
      <c r="Z48" s="12" t="n">
        <f aca="false">Z17+Z30+Z43</f>
        <v>-701852</v>
      </c>
      <c r="AA48" s="13" t="n">
        <f aca="false">SUM(C48:N48)</f>
        <v>14550129</v>
      </c>
      <c r="AB48" s="13" t="n">
        <f aca="false">SUM(O48:Z48)</f>
        <v>7383968</v>
      </c>
    </row>
    <row r="49" customFormat="false" ht="15" hidden="false" customHeight="false" outlineLevel="0" collapsed="false">
      <c r="A49" s="4" t="s">
        <v>30</v>
      </c>
      <c r="C49" s="12" t="n">
        <f aca="false">前提条件!$B$42</f>
        <v>1500000</v>
      </c>
      <c r="D49" s="12" t="n">
        <f aca="false">前提条件!$B$42</f>
        <v>1500000</v>
      </c>
      <c r="E49" s="12" t="n">
        <f aca="false">前提条件!$B$42</f>
        <v>1500000</v>
      </c>
      <c r="F49" s="12" t="n">
        <f aca="false">前提条件!$B$42</f>
        <v>1500000</v>
      </c>
      <c r="G49" s="12" t="n">
        <f aca="false">前提条件!$B$42</f>
        <v>1500000</v>
      </c>
      <c r="H49" s="12" t="n">
        <f aca="false">前提条件!$B$42</f>
        <v>1500000</v>
      </c>
      <c r="I49" s="12" t="n">
        <f aca="false">前提条件!$B$42</f>
        <v>1500000</v>
      </c>
      <c r="J49" s="12" t="n">
        <f aca="false">前提条件!$B$42</f>
        <v>1500000</v>
      </c>
      <c r="K49" s="12" t="n">
        <f aca="false">前提条件!$B$42</f>
        <v>1500000</v>
      </c>
      <c r="L49" s="12" t="n">
        <f aca="false">前提条件!$B$42</f>
        <v>1500000</v>
      </c>
      <c r="M49" s="12" t="n">
        <f aca="false">前提条件!$B$42</f>
        <v>1500000</v>
      </c>
      <c r="N49" s="12" t="n">
        <f aca="false">前提条件!$B$42</f>
        <v>1500000</v>
      </c>
      <c r="O49" s="12" t="n">
        <f aca="false">前提条件!$B$42</f>
        <v>1500000</v>
      </c>
      <c r="P49" s="12" t="n">
        <f aca="false">前提条件!$B$42</f>
        <v>1500000</v>
      </c>
      <c r="Q49" s="12" t="n">
        <f aca="false">前提条件!$B$42</f>
        <v>1500000</v>
      </c>
      <c r="R49" s="12" t="n">
        <f aca="false">前提条件!$B$42</f>
        <v>1500000</v>
      </c>
      <c r="S49" s="12" t="n">
        <f aca="false">前提条件!$B$42</f>
        <v>1500000</v>
      </c>
      <c r="T49" s="12" t="n">
        <f aca="false">前提条件!$B$42</f>
        <v>1500000</v>
      </c>
      <c r="U49" s="12" t="n">
        <f aca="false">前提条件!$B$42</f>
        <v>1500000</v>
      </c>
      <c r="V49" s="12" t="n">
        <f aca="false">前提条件!$B$42</f>
        <v>1500000</v>
      </c>
      <c r="W49" s="12" t="n">
        <f aca="false">前提条件!$B$42</f>
        <v>1500000</v>
      </c>
      <c r="X49" s="12" t="n">
        <f aca="false">前提条件!$B$42</f>
        <v>1500000</v>
      </c>
      <c r="Y49" s="12" t="n">
        <f aca="false">前提条件!$B$42</f>
        <v>1500000</v>
      </c>
      <c r="Z49" s="12" t="n">
        <f aca="false">前提条件!$B$42</f>
        <v>1500000</v>
      </c>
      <c r="AA49" s="13" t="n">
        <f aca="false">SUM(C49:N49)</f>
        <v>18000000</v>
      </c>
      <c r="AB49" s="13" t="n">
        <f aca="false">SUM(O49:Z49)</f>
        <v>18000000</v>
      </c>
    </row>
    <row r="50" customFormat="false" ht="15" hidden="false" customHeight="false" outlineLevel="0" collapsed="false">
      <c r="A50" s="7" t="s">
        <v>31</v>
      </c>
      <c r="C50" s="13" t="n">
        <f aca="false">C48-C49</f>
        <v>1045239</v>
      </c>
      <c r="D50" s="13" t="n">
        <f aca="false">D48-D49</f>
        <v>1048248</v>
      </c>
      <c r="E50" s="13" t="n">
        <f aca="false">E48-E49</f>
        <v>-1179670</v>
      </c>
      <c r="F50" s="13" t="n">
        <f aca="false">F48-F49</f>
        <v>-1179670</v>
      </c>
      <c r="G50" s="13" t="n">
        <f aca="false">G48-G49</f>
        <v>1783312</v>
      </c>
      <c r="H50" s="13" t="n">
        <f aca="false">H48-H49</f>
        <v>1099883</v>
      </c>
      <c r="I50" s="13" t="n">
        <f aca="false">I48-I49</f>
        <v>-2248015</v>
      </c>
      <c r="J50" s="13" t="n">
        <f aca="false">J48-J49</f>
        <v>-2248015</v>
      </c>
      <c r="K50" s="13" t="n">
        <f aca="false">K48-K49</f>
        <v>1651846</v>
      </c>
      <c r="L50" s="13" t="n">
        <f aca="false">L48-L49</f>
        <v>-1077353</v>
      </c>
      <c r="M50" s="13" t="n">
        <f aca="false">M48-M49</f>
        <v>56176</v>
      </c>
      <c r="N50" s="13" t="n">
        <f aca="false">N48-N49</f>
        <v>-2201852</v>
      </c>
      <c r="O50" s="13" t="n">
        <f aca="false">O48-O49</f>
        <v>808848</v>
      </c>
      <c r="P50" s="13" t="n">
        <f aca="false">P48-P49</f>
        <v>2314200</v>
      </c>
      <c r="Q50" s="13" t="n">
        <f aca="false">Q48-Q49</f>
        <v>-1449176</v>
      </c>
      <c r="R50" s="13" t="n">
        <f aca="false">R48-R49</f>
        <v>-1449176</v>
      </c>
      <c r="S50" s="13" t="n">
        <f aca="false">S48-S49</f>
        <v>-1449176</v>
      </c>
      <c r="T50" s="13" t="n">
        <f aca="false">T48-T49</f>
        <v>808848</v>
      </c>
      <c r="U50" s="13" t="n">
        <f aca="false">U48-U49</f>
        <v>-2954524</v>
      </c>
      <c r="V50" s="13" t="n">
        <f aca="false">V48-V49</f>
        <v>-2954524</v>
      </c>
      <c r="W50" s="13" t="n">
        <f aca="false">W48-W49</f>
        <v>-696500</v>
      </c>
      <c r="X50" s="13" t="n">
        <f aca="false">X48-X49</f>
        <v>-1449176</v>
      </c>
      <c r="Y50" s="13" t="n">
        <f aca="false">Y48-Y49</f>
        <v>56176</v>
      </c>
      <c r="Z50" s="13" t="n">
        <f aca="false">Z48-Z49</f>
        <v>-2201852</v>
      </c>
      <c r="AA50" s="13" t="n">
        <f aca="false">SUM(C50:N50)</f>
        <v>-3449871</v>
      </c>
      <c r="AB50" s="13" t="n">
        <f aca="false">SUM(O50:Z50)</f>
        <v>-10616032</v>
      </c>
    </row>
    <row r="51" customFormat="false" ht="15" hidden="false" customHeight="false" outlineLevel="0" collapsed="false">
      <c r="A51" s="4" t="s">
        <v>152</v>
      </c>
      <c r="C51" s="14" t="n">
        <f aca="false">IF(C47=0,0,C50/C47)</f>
        <v>0.060515480952172</v>
      </c>
      <c r="D51" s="14" t="n">
        <f aca="false">IF(D47=0,0,D50/D47)</f>
        <v>0.0606667129661782</v>
      </c>
      <c r="E51" s="14" t="n">
        <f aca="false">IF(E47=0,0,E50/E47)</f>
        <v>-0.094863093562784</v>
      </c>
      <c r="F51" s="14" t="n">
        <f aca="false">IF(F47=0,0,F50/F47)</f>
        <v>-0.094863093562784</v>
      </c>
      <c r="G51" s="14" t="n">
        <f aca="false">IF(G47=0,0,G50/G47)</f>
        <v>0.0607648006084276</v>
      </c>
      <c r="H51" s="14" t="n">
        <f aca="false">IF(H47=0,0,H50/H47)</f>
        <v>0.039476004380867</v>
      </c>
      <c r="I51" s="14" t="n">
        <f aca="false">IF(I47=0,0,I50/I47)</f>
        <v>-0.109211633779108</v>
      </c>
      <c r="J51" s="14" t="n">
        <f aca="false">IF(J47=0,0,J50/J47)</f>
        <v>-0.109211633779108</v>
      </c>
      <c r="K51" s="14" t="n">
        <f aca="false">IF(K47=0,0,K50/K47)</f>
        <v>0.0436648594637603</v>
      </c>
      <c r="L51" s="14" t="n">
        <f aca="false">IF(L47=0,0,L50/L47)</f>
        <v>-0.0337759363261653</v>
      </c>
      <c r="M51" s="14" t="n">
        <f aca="false">IF(M47=0,0,M50/M47)</f>
        <v>0.00163486485503292</v>
      </c>
      <c r="N51" s="14" t="n">
        <f aca="false">IF(N47=0,0,N50/N47)</f>
        <v>-0.0747594261947203</v>
      </c>
      <c r="O51" s="14" t="n">
        <f aca="false">IF(O47=0,0,O50/O47)</f>
        <v>0.0224695603861379</v>
      </c>
      <c r="P51" s="14" t="n">
        <f aca="false">IF(P47=0,0,P50/P47)</f>
        <v>0.0589304812834225</v>
      </c>
      <c r="Q51" s="14" t="n">
        <f aca="false">IF(Q47=0,0,Q50/Q47)</f>
        <v>-0.046614161071127</v>
      </c>
      <c r="R51" s="14" t="n">
        <f aca="false">IF(R47=0,0,R50/R47)</f>
        <v>-0.046614161071127</v>
      </c>
      <c r="S51" s="14" t="n">
        <f aca="false">IF(S47=0,0,S50/S47)</f>
        <v>-0.046614161071127</v>
      </c>
      <c r="T51" s="14" t="n">
        <f aca="false">IF(T47=0,0,T50/T47)</f>
        <v>0.0224695603861379</v>
      </c>
      <c r="U51" s="14" t="n">
        <f aca="false">IF(U47=0,0,U50/U47)</f>
        <v>-0.106215755179077</v>
      </c>
      <c r="V51" s="14" t="n">
        <f aca="false">IF(V47=0,0,V50/V47)</f>
        <v>-0.106215755179077</v>
      </c>
      <c r="W51" s="14" t="n">
        <f aca="false">IF(W47=0,0,W50/W47)</f>
        <v>-0.021283422459893</v>
      </c>
      <c r="X51" s="14" t="n">
        <f aca="false">IF(X47=0,0,X50/X47)</f>
        <v>-0.046614161071127</v>
      </c>
      <c r="Y51" s="14" t="n">
        <f aca="false">IF(Y47=0,0,Y50/Y47)</f>
        <v>0.00163486485503292</v>
      </c>
      <c r="Z51" s="14" t="n">
        <f aca="false">IF(Z47=0,0,Z50/Z47)</f>
        <v>-0.0747594261947203</v>
      </c>
      <c r="AA51" s="26" t="n">
        <f aca="false">IF(AA47=0,0,AA50/AA47)</f>
        <v>-0.01184135650646</v>
      </c>
      <c r="AB51" s="26" t="n">
        <f aca="false">IF(AB47=0,0,AB50/AB47)</f>
        <v>-0.0273756357318532</v>
      </c>
    </row>
    <row r="52" customFormat="false" ht="15" hidden="false" customHeight="false" outlineLevel="0" collapsed="false">
      <c r="A52" s="4" t="s">
        <v>153</v>
      </c>
      <c r="C52" s="12" t="n">
        <f aca="false">C50</f>
        <v>1045239</v>
      </c>
      <c r="D52" s="12" t="n">
        <f aca="false">C52+D50</f>
        <v>2093487</v>
      </c>
      <c r="E52" s="12" t="n">
        <f aca="false">D52+E50</f>
        <v>913817</v>
      </c>
      <c r="F52" s="12" t="n">
        <f aca="false">E52+F50</f>
        <v>-265853</v>
      </c>
      <c r="G52" s="12" t="n">
        <f aca="false">F52+G50</f>
        <v>1517459</v>
      </c>
      <c r="H52" s="12" t="n">
        <f aca="false">G52+H50</f>
        <v>2617342</v>
      </c>
      <c r="I52" s="12" t="n">
        <f aca="false">H52+I50</f>
        <v>369327</v>
      </c>
      <c r="J52" s="12" t="n">
        <f aca="false">I52+J50</f>
        <v>-1878688</v>
      </c>
      <c r="K52" s="12" t="n">
        <f aca="false">J52+K50</f>
        <v>-226842</v>
      </c>
      <c r="L52" s="12" t="n">
        <f aca="false">K52+L50</f>
        <v>-1304195</v>
      </c>
      <c r="M52" s="12" t="n">
        <f aca="false">L52+M50</f>
        <v>-1248019</v>
      </c>
      <c r="N52" s="12" t="n">
        <f aca="false">M52+N50</f>
        <v>-3449871</v>
      </c>
      <c r="O52" s="12" t="n">
        <f aca="false">N52+O50</f>
        <v>-2641023</v>
      </c>
      <c r="P52" s="12" t="n">
        <f aca="false">O52+P50</f>
        <v>-326823</v>
      </c>
      <c r="Q52" s="12" t="n">
        <f aca="false">P52+Q50</f>
        <v>-1775999</v>
      </c>
      <c r="R52" s="12" t="n">
        <f aca="false">Q52+R50</f>
        <v>-3225175</v>
      </c>
      <c r="S52" s="12" t="n">
        <f aca="false">R52+S50</f>
        <v>-4674351</v>
      </c>
      <c r="T52" s="12" t="n">
        <f aca="false">S52+T50</f>
        <v>-3865503</v>
      </c>
      <c r="U52" s="12" t="n">
        <f aca="false">T52+U50</f>
        <v>-6820027</v>
      </c>
      <c r="V52" s="12" t="n">
        <f aca="false">U52+V50</f>
        <v>-9774551</v>
      </c>
      <c r="W52" s="12" t="n">
        <f aca="false">V52+W50</f>
        <v>-10471051</v>
      </c>
      <c r="X52" s="12" t="n">
        <f aca="false">W52+X50</f>
        <v>-11920227</v>
      </c>
      <c r="Y52" s="12" t="n">
        <f aca="false">X52+Y50</f>
        <v>-11864051</v>
      </c>
      <c r="Z52" s="12" t="n">
        <f aca="false">Y52+Z50</f>
        <v>-14065903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4" min="3" style="0" width="14"/>
    <col collapsed="false" customWidth="true" hidden="false" outlineLevel="0" max="9" min="5" style="0" width="12"/>
  </cols>
  <sheetData>
    <row r="1" customFormat="false" ht="19.4" hidden="false" customHeight="false" outlineLevel="0" collapsed="false">
      <c r="A1" s="16" t="s">
        <v>154</v>
      </c>
    </row>
    <row r="2" customFormat="false" ht="15" hidden="false" customHeight="false" outlineLevel="0" collapsed="false">
      <c r="A2" s="2" t="s">
        <v>155</v>
      </c>
    </row>
    <row r="4" customFormat="false" ht="15" hidden="false" customHeight="false" outlineLevel="0" collapsed="false">
      <c r="A4" s="27" t="s">
        <v>156</v>
      </c>
      <c r="B4" s="27" t="s">
        <v>157</v>
      </c>
      <c r="C4" s="27" t="s">
        <v>158</v>
      </c>
      <c r="D4" s="27" t="s">
        <v>159</v>
      </c>
      <c r="E4" s="27" t="s">
        <v>160</v>
      </c>
      <c r="F4" s="27" t="s">
        <v>8</v>
      </c>
      <c r="G4" s="27" t="s">
        <v>161</v>
      </c>
      <c r="H4" s="27" t="s">
        <v>162</v>
      </c>
      <c r="I4" s="27" t="s">
        <v>10</v>
      </c>
    </row>
    <row r="5" customFormat="false" ht="15" hidden="false" customHeight="false" outlineLevel="0" collapsed="false">
      <c r="A5" s="9" t="s">
        <v>163</v>
      </c>
      <c r="B5" s="28" t="s">
        <v>164</v>
      </c>
      <c r="C5" s="28"/>
      <c r="D5" s="4"/>
      <c r="E5" s="12" t="n">
        <v>2200</v>
      </c>
      <c r="F5" s="12"/>
      <c r="G5" s="12" t="n">
        <v>1</v>
      </c>
      <c r="H5" s="12" t="n">
        <f aca="false">IF(G5=0,0,E5/G5)</f>
        <v>2200</v>
      </c>
      <c r="I5" s="14" t="n">
        <f aca="false">IF(OR(F5=0,F5=""),0,G5/F5)</f>
        <v>0</v>
      </c>
    </row>
    <row r="6" customFormat="false" ht="15" hidden="false" customHeight="false" outlineLevel="0" collapsed="false">
      <c r="A6" s="9" t="s">
        <v>165</v>
      </c>
      <c r="B6" s="28" t="s">
        <v>166</v>
      </c>
      <c r="C6" s="28"/>
      <c r="D6" s="4"/>
      <c r="E6" s="12" t="n">
        <v>16837</v>
      </c>
      <c r="F6" s="12"/>
      <c r="G6" s="12" t="n">
        <v>4</v>
      </c>
      <c r="H6" s="12" t="n">
        <f aca="false">IF(G6=0,0,E6/G6)</f>
        <v>4209.25</v>
      </c>
      <c r="I6" s="14" t="n">
        <f aca="false">IF(OR(F6=0,F6=""),0,G6/F6)</f>
        <v>0</v>
      </c>
    </row>
    <row r="7" customFormat="false" ht="15" hidden="false" customHeight="false" outlineLevel="0" collapsed="false">
      <c r="A7" s="9" t="s">
        <v>167</v>
      </c>
      <c r="B7" s="28" t="s">
        <v>168</v>
      </c>
      <c r="C7" s="28" t="s">
        <v>169</v>
      </c>
      <c r="D7" s="4" t="s">
        <v>170</v>
      </c>
      <c r="E7" s="12" t="n">
        <v>1813200</v>
      </c>
      <c r="F7" s="12" t="n">
        <v>1541</v>
      </c>
      <c r="G7" s="12" t="n">
        <v>382</v>
      </c>
      <c r="H7" s="12" t="n">
        <f aca="false">IF(G7=0,0,E7/G7)</f>
        <v>4746.59685863874</v>
      </c>
      <c r="I7" s="14" t="n">
        <f aca="false">IF(OR(F7=0,F7=""),0,G7/F7)</f>
        <v>0.247890979883193</v>
      </c>
    </row>
    <row r="8" customFormat="false" ht="15" hidden="false" customHeight="false" outlineLevel="0" collapsed="false">
      <c r="A8" s="9" t="s">
        <v>171</v>
      </c>
      <c r="B8" s="28" t="s">
        <v>172</v>
      </c>
      <c r="C8" s="28" t="s">
        <v>169</v>
      </c>
      <c r="D8" s="4" t="s">
        <v>170</v>
      </c>
      <c r="E8" s="12" t="n">
        <v>1661212</v>
      </c>
      <c r="F8" s="12" t="n">
        <v>1060</v>
      </c>
      <c r="G8" s="12" t="n">
        <v>426</v>
      </c>
      <c r="H8" s="12" t="n">
        <f aca="false">IF(G8=0,0,E8/G8)</f>
        <v>3899.55868544601</v>
      </c>
      <c r="I8" s="14" t="n">
        <f aca="false">IF(OR(F8=0,F8=""),0,G8/F8)</f>
        <v>0.40188679245283</v>
      </c>
    </row>
    <row r="9" customFormat="false" ht="15" hidden="false" customHeight="false" outlineLevel="0" collapsed="false">
      <c r="A9" s="9" t="s">
        <v>173</v>
      </c>
      <c r="B9" s="28" t="s">
        <v>174</v>
      </c>
      <c r="C9" s="28" t="s">
        <v>175</v>
      </c>
      <c r="D9" s="4" t="s">
        <v>176</v>
      </c>
      <c r="E9" s="12" t="n">
        <v>755264</v>
      </c>
      <c r="F9" s="12" t="n">
        <v>1722</v>
      </c>
      <c r="G9" s="12" t="n">
        <v>238</v>
      </c>
      <c r="H9" s="12" t="n">
        <f aca="false">IF(G9=0,0,E9/G9)</f>
        <v>3173.3781512605</v>
      </c>
      <c r="I9" s="14" t="n">
        <f aca="false">IF(OR(F9=0,F9=""),0,G9/F9)</f>
        <v>0.138211382113821</v>
      </c>
    </row>
    <row r="10" customFormat="false" ht="15" hidden="false" customHeight="false" outlineLevel="0" collapsed="false">
      <c r="A10" s="9" t="s">
        <v>177</v>
      </c>
      <c r="B10" s="28" t="s">
        <v>178</v>
      </c>
      <c r="C10" s="28" t="s">
        <v>175</v>
      </c>
      <c r="D10" s="4" t="s">
        <v>179</v>
      </c>
      <c r="E10" s="12" t="n">
        <v>700926</v>
      </c>
      <c r="F10" s="12" t="n">
        <v>1258</v>
      </c>
      <c r="G10" s="12" t="n">
        <v>184</v>
      </c>
      <c r="H10" s="12" t="n">
        <f aca="false">IF(G10=0,0,E10/G10)</f>
        <v>3809.38043478261</v>
      </c>
      <c r="I10" s="14" t="n">
        <f aca="false">IF(OR(F10=0,F10=""),0,G10/F10)</f>
        <v>0.146263910969793</v>
      </c>
    </row>
    <row r="11" customFormat="false" ht="15" hidden="false" customHeight="false" outlineLevel="0" collapsed="false">
      <c r="A11" s="9" t="s">
        <v>180</v>
      </c>
      <c r="B11" s="28" t="s">
        <v>181</v>
      </c>
      <c r="C11" s="28" t="s">
        <v>169</v>
      </c>
      <c r="D11" s="4" t="s">
        <v>182</v>
      </c>
      <c r="E11" s="12" t="n">
        <v>845294</v>
      </c>
      <c r="F11" s="12" t="n">
        <v>1054</v>
      </c>
      <c r="G11" s="12" t="n">
        <v>228</v>
      </c>
      <c r="H11" s="12" t="n">
        <f aca="false">IF(G11=0,0,E11/G11)</f>
        <v>3707.4298245614</v>
      </c>
      <c r="I11" s="14" t="n">
        <f aca="false">IF(OR(F11=0,F11=""),0,G11/F11)</f>
        <v>0.216318785578748</v>
      </c>
    </row>
    <row r="12" customFormat="false" ht="15" hidden="false" customHeight="false" outlineLevel="0" collapsed="false">
      <c r="A12" s="9" t="s">
        <v>183</v>
      </c>
      <c r="B12" s="28" t="s">
        <v>164</v>
      </c>
      <c r="C12" s="28" t="s">
        <v>169</v>
      </c>
      <c r="D12" s="4" t="s">
        <v>182</v>
      </c>
      <c r="E12" s="12" t="n">
        <v>749834</v>
      </c>
      <c r="F12" s="12" t="n">
        <v>1146</v>
      </c>
      <c r="G12" s="12" t="n">
        <v>240</v>
      </c>
      <c r="H12" s="12" t="n">
        <f aca="false">IF(G12=0,0,E12/G12)</f>
        <v>3124.30833333333</v>
      </c>
      <c r="I12" s="14" t="n">
        <f aca="false">IF(OR(F12=0,F12=""),0,G12/F12)</f>
        <v>0.209424083769634</v>
      </c>
    </row>
    <row r="13" customFormat="false" ht="15" hidden="false" customHeight="false" outlineLevel="0" collapsed="false">
      <c r="A13" s="9" t="s">
        <v>184</v>
      </c>
      <c r="B13" s="28" t="s">
        <v>166</v>
      </c>
      <c r="C13" s="28" t="s">
        <v>169</v>
      </c>
      <c r="D13" s="4" t="s">
        <v>179</v>
      </c>
      <c r="E13" s="12" t="n">
        <v>815396</v>
      </c>
      <c r="F13" s="12" t="n">
        <v>1116</v>
      </c>
      <c r="G13" s="12" t="n">
        <v>248</v>
      </c>
      <c r="H13" s="12" t="n">
        <f aca="false">IF(G13=0,0,E13/G13)</f>
        <v>3287.88709677419</v>
      </c>
      <c r="I13" s="14" t="n">
        <f aca="false">IF(OR(F13=0,F13=""),0,G13/F13)</f>
        <v>0.222222222222222</v>
      </c>
    </row>
    <row r="14" customFormat="false" ht="15" hidden="false" customHeight="false" outlineLevel="0" collapsed="false">
      <c r="A14" s="9" t="s">
        <v>185</v>
      </c>
      <c r="B14" s="28" t="s">
        <v>168</v>
      </c>
      <c r="C14" s="28" t="s">
        <v>186</v>
      </c>
      <c r="D14" s="4" t="s">
        <v>182</v>
      </c>
      <c r="E14" s="12" t="n">
        <v>642481</v>
      </c>
      <c r="F14" s="12" t="n">
        <v>1148</v>
      </c>
      <c r="G14" s="12" t="n">
        <v>233</v>
      </c>
      <c r="H14" s="12" t="n">
        <f aca="false">IF(G14=0,0,E14/G14)</f>
        <v>2757.42918454936</v>
      </c>
      <c r="I14" s="14" t="n">
        <f aca="false">IF(OR(F14=0,F14=""),0,G14/F14)</f>
        <v>0.202961672473868</v>
      </c>
    </row>
    <row r="15" customFormat="false" ht="15" hidden="false" customHeight="false" outlineLevel="0" collapsed="false">
      <c r="A15" s="9" t="s">
        <v>187</v>
      </c>
      <c r="B15" s="28" t="s">
        <v>172</v>
      </c>
      <c r="C15" s="28" t="s">
        <v>175</v>
      </c>
      <c r="D15" s="4" t="s">
        <v>170</v>
      </c>
      <c r="E15" s="12" t="n">
        <v>1203332</v>
      </c>
      <c r="F15" s="12" t="n">
        <v>1761</v>
      </c>
      <c r="G15" s="12" t="n">
        <v>393</v>
      </c>
      <c r="H15" s="12" t="n">
        <f aca="false">IF(G15=0,0,E15/G15)</f>
        <v>3061.91348600509</v>
      </c>
      <c r="I15" s="14" t="n">
        <f aca="false">IF(OR(F15=0,F15=""),0,G15/F15)</f>
        <v>0.223168654173765</v>
      </c>
    </row>
    <row r="16" customFormat="false" ht="15" hidden="false" customHeight="false" outlineLevel="0" collapsed="false">
      <c r="A16" s="9" t="s">
        <v>188</v>
      </c>
      <c r="B16" s="28" t="s">
        <v>174</v>
      </c>
      <c r="C16" s="28" t="s">
        <v>169</v>
      </c>
      <c r="D16" s="4" t="s">
        <v>176</v>
      </c>
      <c r="E16" s="12" t="n">
        <v>1037109</v>
      </c>
      <c r="F16" s="12" t="n">
        <v>1770</v>
      </c>
      <c r="G16" s="12" t="n">
        <v>349</v>
      </c>
      <c r="H16" s="12" t="n">
        <f aca="false">IF(G16=0,0,E16/G16)</f>
        <v>2971.65902578797</v>
      </c>
      <c r="I16" s="14" t="n">
        <f aca="false">IF(OR(F16=0,F16=""),0,G16/F16)</f>
        <v>0.197175141242938</v>
      </c>
    </row>
    <row r="17" customFormat="false" ht="15" hidden="false" customHeight="false" outlineLevel="0" collapsed="false">
      <c r="A17" s="9" t="s">
        <v>189</v>
      </c>
      <c r="B17" s="28" t="s">
        <v>178</v>
      </c>
      <c r="C17" s="28" t="s">
        <v>169</v>
      </c>
      <c r="D17" s="4" t="s">
        <v>176</v>
      </c>
      <c r="E17" s="12" t="n">
        <v>704815</v>
      </c>
      <c r="F17" s="12" t="n">
        <v>1223</v>
      </c>
      <c r="G17" s="12" t="n">
        <v>247</v>
      </c>
      <c r="H17" s="12" t="n">
        <f aca="false">IF(G17=0,0,E17/G17)</f>
        <v>2853.5020242915</v>
      </c>
      <c r="I17" s="14" t="n">
        <f aca="false">IF(OR(F17=0,F17=""),0,G17/F17)</f>
        <v>0.201962387571545</v>
      </c>
    </row>
    <row r="18" customFormat="false" ht="15" hidden="false" customHeight="false" outlineLevel="0" collapsed="false">
      <c r="A18" s="9" t="s">
        <v>190</v>
      </c>
      <c r="B18" s="28" t="s">
        <v>181</v>
      </c>
      <c r="C18" s="28" t="s">
        <v>169</v>
      </c>
      <c r="D18" s="4" t="s">
        <v>191</v>
      </c>
      <c r="E18" s="12" t="n">
        <v>624205</v>
      </c>
      <c r="F18" s="12" t="n">
        <v>1075</v>
      </c>
      <c r="G18" s="12" t="n">
        <v>187</v>
      </c>
      <c r="H18" s="12" t="n">
        <f aca="false">IF(G18=0,0,E18/G18)</f>
        <v>3337.99465240642</v>
      </c>
      <c r="I18" s="14" t="n">
        <f aca="false">IF(OR(F18=0,F18=""),0,G18/F18)</f>
        <v>0.173953488372093</v>
      </c>
    </row>
    <row r="19" customFormat="false" ht="15" hidden="false" customHeight="false" outlineLevel="0" collapsed="false">
      <c r="A19" s="9" t="s">
        <v>192</v>
      </c>
      <c r="B19" s="28" t="s">
        <v>164</v>
      </c>
      <c r="C19" s="28" t="s">
        <v>169</v>
      </c>
      <c r="D19" s="4" t="s">
        <v>191</v>
      </c>
      <c r="E19" s="12" t="n">
        <v>628431</v>
      </c>
      <c r="F19" s="12" t="n">
        <v>853</v>
      </c>
      <c r="G19" s="12" t="n">
        <v>194</v>
      </c>
      <c r="H19" s="12" t="n">
        <f aca="false">IF(G19=0,0,E19/G19)</f>
        <v>3239.33505154639</v>
      </c>
      <c r="I19" s="14" t="n">
        <f aca="false">IF(OR(F19=0,F19=""),0,G19/F19)</f>
        <v>0.227432590855803</v>
      </c>
    </row>
    <row r="20" customFormat="false" ht="15" hidden="false" customHeight="false" outlineLevel="0" collapsed="false">
      <c r="A20" s="9" t="s">
        <v>193</v>
      </c>
      <c r="B20" s="28" t="s">
        <v>166</v>
      </c>
      <c r="C20" s="28" t="s">
        <v>169</v>
      </c>
      <c r="D20" s="4" t="s">
        <v>191</v>
      </c>
      <c r="E20" s="12" t="n">
        <v>587496</v>
      </c>
      <c r="F20" s="12" t="n">
        <v>793</v>
      </c>
      <c r="G20" s="12" t="n">
        <v>188</v>
      </c>
      <c r="H20" s="12" t="n">
        <f aca="false">IF(G20=0,0,E20/G20)</f>
        <v>3124.97872340426</v>
      </c>
      <c r="I20" s="14" t="n">
        <f aca="false">IF(OR(F20=0,F20=""),0,G20/F20)</f>
        <v>0.237074401008827</v>
      </c>
    </row>
    <row r="21" customFormat="false" ht="15" hidden="false" customHeight="false" outlineLevel="0" collapsed="false">
      <c r="A21" s="9" t="s">
        <v>194</v>
      </c>
      <c r="B21" s="28" t="s">
        <v>168</v>
      </c>
      <c r="C21" s="28" t="s">
        <v>169</v>
      </c>
      <c r="D21" s="4" t="s">
        <v>191</v>
      </c>
      <c r="E21" s="12" t="n">
        <v>584442</v>
      </c>
      <c r="F21" s="12" t="n">
        <v>1009</v>
      </c>
      <c r="G21" s="12" t="n">
        <v>203</v>
      </c>
      <c r="H21" s="12" t="n">
        <f aca="false">IF(G21=0,0,E21/G21)</f>
        <v>2879.02463054187</v>
      </c>
      <c r="I21" s="14" t="n">
        <f aca="false">IF(OR(F21=0,F21=""),0,G21/F21)</f>
        <v>0.201189296333003</v>
      </c>
    </row>
    <row r="22" customFormat="false" ht="15" hidden="false" customHeight="false" outlineLevel="0" collapsed="false">
      <c r="A22" s="9" t="s">
        <v>195</v>
      </c>
      <c r="B22" s="28" t="s">
        <v>172</v>
      </c>
      <c r="C22" s="28" t="s">
        <v>169</v>
      </c>
      <c r="D22" s="4" t="s">
        <v>170</v>
      </c>
      <c r="E22" s="12" t="n">
        <v>740239</v>
      </c>
      <c r="F22" s="12" t="n">
        <v>1396</v>
      </c>
      <c r="G22" s="12" t="n">
        <v>254</v>
      </c>
      <c r="H22" s="12" t="n">
        <f aca="false">IF(G22=0,0,E22/G22)</f>
        <v>2914.32677165354</v>
      </c>
      <c r="I22" s="14" t="n">
        <f aca="false">IF(OR(F22=0,F22=""),0,G22/F22)</f>
        <v>0.181948424068768</v>
      </c>
    </row>
    <row r="23" customFormat="false" ht="15" hidden="false" customHeight="false" outlineLevel="0" collapsed="false">
      <c r="A23" s="9" t="s">
        <v>196</v>
      </c>
      <c r="B23" s="28" t="s">
        <v>174</v>
      </c>
      <c r="C23" s="28" t="s">
        <v>186</v>
      </c>
      <c r="D23" s="4" t="s">
        <v>176</v>
      </c>
      <c r="E23" s="12" t="n">
        <v>665489</v>
      </c>
      <c r="F23" s="12" t="n">
        <v>1304</v>
      </c>
      <c r="G23" s="12" t="n">
        <v>224</v>
      </c>
      <c r="H23" s="12" t="n">
        <f aca="false">IF(G23=0,0,E23/G23)</f>
        <v>2970.93303571429</v>
      </c>
      <c r="I23" s="14" t="n">
        <f aca="false">IF(OR(F23=0,F23=""),0,G23/F23)</f>
        <v>0.171779141104294</v>
      </c>
    </row>
    <row r="24" customFormat="false" ht="15" hidden="false" customHeight="false" outlineLevel="0" collapsed="false">
      <c r="A24" s="9" t="s">
        <v>197</v>
      </c>
      <c r="B24" s="28" t="s">
        <v>178</v>
      </c>
      <c r="C24" s="28" t="s">
        <v>175</v>
      </c>
      <c r="D24" s="4" t="s">
        <v>198</v>
      </c>
      <c r="E24" s="12" t="n">
        <v>564065</v>
      </c>
      <c r="F24" s="12" t="n">
        <v>1145</v>
      </c>
      <c r="G24" s="12" t="n">
        <v>189</v>
      </c>
      <c r="H24" s="12" t="n">
        <f aca="false">IF(G24=0,0,E24/G24)</f>
        <v>2984.4708994709</v>
      </c>
      <c r="I24" s="14" t="n">
        <f aca="false">IF(OR(F24=0,F24=""),0,G24/F24)</f>
        <v>0.165065502183406</v>
      </c>
    </row>
    <row r="25" customFormat="false" ht="15" hidden="false" customHeight="false" outlineLevel="0" collapsed="false">
      <c r="A25" s="9" t="s">
        <v>199</v>
      </c>
      <c r="B25" s="28" t="s">
        <v>181</v>
      </c>
      <c r="C25" s="28" t="s">
        <v>175</v>
      </c>
      <c r="D25" s="4" t="s">
        <v>200</v>
      </c>
      <c r="E25" s="12" t="n">
        <v>605288</v>
      </c>
      <c r="F25" s="12" t="n">
        <v>910</v>
      </c>
      <c r="G25" s="12" t="n">
        <v>187</v>
      </c>
      <c r="H25" s="12" t="n">
        <f aca="false">IF(G25=0,0,E25/G25)</f>
        <v>3236.83422459893</v>
      </c>
      <c r="I25" s="14" t="n">
        <f aca="false">IF(OR(F25=0,F25=""),0,G25/F25)</f>
        <v>0.205494505494505</v>
      </c>
    </row>
    <row r="26" customFormat="false" ht="15" hidden="false" customHeight="false" outlineLevel="0" collapsed="false">
      <c r="A26" s="9" t="s">
        <v>201</v>
      </c>
      <c r="B26" s="28" t="s">
        <v>164</v>
      </c>
      <c r="C26" s="28" t="s">
        <v>169</v>
      </c>
      <c r="D26" s="4" t="s">
        <v>202</v>
      </c>
      <c r="E26" s="12" t="n">
        <v>474787</v>
      </c>
      <c r="F26" s="12" t="n">
        <v>1013</v>
      </c>
      <c r="G26" s="12" t="n">
        <v>145</v>
      </c>
      <c r="H26" s="12" t="n">
        <f aca="false">IF(G26=0,0,E26/G26)</f>
        <v>3274.39310344828</v>
      </c>
      <c r="I26" s="14" t="n">
        <f aca="false">IF(OR(F26=0,F26=""),0,G26/F26)</f>
        <v>0.143139190523198</v>
      </c>
    </row>
    <row r="27" customFormat="false" ht="15" hidden="false" customHeight="false" outlineLevel="0" collapsed="false">
      <c r="A27" s="9" t="s">
        <v>203</v>
      </c>
      <c r="B27" s="28" t="s">
        <v>166</v>
      </c>
      <c r="C27" s="28" t="s">
        <v>169</v>
      </c>
      <c r="D27" s="4" t="s">
        <v>198</v>
      </c>
      <c r="E27" s="12" t="n">
        <v>465799</v>
      </c>
      <c r="F27" s="12" t="n">
        <v>933</v>
      </c>
      <c r="G27" s="12" t="n">
        <v>121</v>
      </c>
      <c r="H27" s="12" t="n">
        <f aca="false">IF(G27=0,0,E27/G27)</f>
        <v>3849.57851239669</v>
      </c>
      <c r="I27" s="14" t="n">
        <f aca="false">IF(OR(F27=0,F27=""),0,G27/F27)</f>
        <v>0.129689174705252</v>
      </c>
    </row>
    <row r="28" customFormat="false" ht="15" hidden="false" customHeight="false" outlineLevel="0" collapsed="false">
      <c r="A28" s="9" t="s">
        <v>204</v>
      </c>
      <c r="B28" s="28" t="s">
        <v>168</v>
      </c>
      <c r="C28" s="28" t="s">
        <v>169</v>
      </c>
      <c r="D28" s="4" t="s">
        <v>200</v>
      </c>
      <c r="E28" s="12" t="n">
        <v>403154</v>
      </c>
      <c r="F28" s="12" t="n">
        <v>1004</v>
      </c>
      <c r="G28" s="12" t="n">
        <v>106</v>
      </c>
      <c r="H28" s="12" t="n">
        <f aca="false">IF(G28=0,0,E28/G28)</f>
        <v>3803.33962264151</v>
      </c>
      <c r="I28" s="14" t="n">
        <f aca="false">IF(OR(F28=0,F28=""),0,G28/F28)</f>
        <v>0.105577689243028</v>
      </c>
    </row>
    <row r="29" customFormat="false" ht="15" hidden="false" customHeight="false" outlineLevel="0" collapsed="false">
      <c r="A29" s="9" t="s">
        <v>205</v>
      </c>
      <c r="B29" s="28" t="s">
        <v>172</v>
      </c>
      <c r="C29" s="28" t="s">
        <v>169</v>
      </c>
      <c r="D29" s="4" t="s">
        <v>170</v>
      </c>
      <c r="E29" s="12" t="n">
        <v>618536</v>
      </c>
      <c r="F29" s="12" t="n">
        <v>1129</v>
      </c>
      <c r="G29" s="12" t="n">
        <v>227</v>
      </c>
      <c r="H29" s="12" t="n">
        <f aca="false">IF(G29=0,0,E29/G29)</f>
        <v>2724.8281938326</v>
      </c>
      <c r="I29" s="14" t="n">
        <f aca="false">IF(OR(F29=0,F29=""),0,G29/F29)</f>
        <v>0.201062887511072</v>
      </c>
    </row>
    <row r="30" customFormat="false" ht="15" hidden="false" customHeight="false" outlineLevel="0" collapsed="false">
      <c r="A30" s="9" t="s">
        <v>206</v>
      </c>
      <c r="B30" s="28" t="s">
        <v>174</v>
      </c>
      <c r="C30" s="28" t="s">
        <v>169</v>
      </c>
      <c r="D30" s="4" t="s">
        <v>176</v>
      </c>
      <c r="E30" s="12" t="n">
        <v>679625</v>
      </c>
      <c r="F30" s="12" t="n">
        <v>1505</v>
      </c>
      <c r="G30" s="12" t="n">
        <v>226</v>
      </c>
      <c r="H30" s="12" t="n">
        <f aca="false">IF(G30=0,0,E30/G30)</f>
        <v>3007.19026548673</v>
      </c>
      <c r="I30" s="14" t="n">
        <f aca="false">IF(OR(F30=0,F30=""),0,G30/F30)</f>
        <v>0.150166112956811</v>
      </c>
    </row>
    <row r="32" customFormat="false" ht="15" hidden="false" customHeight="false" outlineLevel="0" collapsed="false">
      <c r="A32" s="3" t="s">
        <v>207</v>
      </c>
    </row>
    <row r="33" customFormat="false" ht="15" hidden="false" customHeight="false" outlineLevel="0" collapsed="false">
      <c r="A33" s="4" t="s">
        <v>4</v>
      </c>
      <c r="B33" s="13" t="n">
        <f aca="false">SUM(E7:E28)</f>
        <v>17272258</v>
      </c>
    </row>
    <row r="34" customFormat="false" ht="15" hidden="false" customHeight="false" outlineLevel="0" collapsed="false">
      <c r="A34" s="4" t="s">
        <v>6</v>
      </c>
      <c r="B34" s="13" t="n">
        <f aca="false">AVERAGE(E7:E28)</f>
        <v>785102.636363636</v>
      </c>
    </row>
    <row r="35" customFormat="false" ht="15" hidden="false" customHeight="false" outlineLevel="0" collapsed="false">
      <c r="A35" s="4" t="s">
        <v>8</v>
      </c>
      <c r="B35" s="13" t="n">
        <f aca="false">SUM(F7:F28)</f>
        <v>26234</v>
      </c>
    </row>
    <row r="36" customFormat="false" ht="15" hidden="false" customHeight="false" outlineLevel="0" collapsed="false">
      <c r="A36" s="4" t="s">
        <v>161</v>
      </c>
      <c r="B36" s="13" t="n">
        <f aca="false">SUM(G7:G28)</f>
        <v>5166</v>
      </c>
    </row>
    <row r="37" customFormat="false" ht="15" hidden="false" customHeight="false" outlineLevel="0" collapsed="false">
      <c r="A37" s="4" t="s">
        <v>9</v>
      </c>
      <c r="B37" s="13" t="n">
        <f aca="false">SUM(E7:E28)/SUM(G7:G28)</f>
        <v>3343.44909020519</v>
      </c>
    </row>
    <row r="38" customFormat="false" ht="15" hidden="false" customHeight="false" outlineLevel="0" collapsed="false">
      <c r="A38" s="4" t="s">
        <v>208</v>
      </c>
      <c r="B38" s="26" t="n">
        <f aca="false">SUM(G7:G28)/SUM(F7:F28)</f>
        <v>0.1969200274453</v>
      </c>
    </row>
    <row r="40" customFormat="false" ht="15" hidden="false" customHeight="false" outlineLevel="0" collapsed="false">
      <c r="A40" s="3" t="s">
        <v>209</v>
      </c>
    </row>
    <row r="41" customFormat="false" ht="15" hidden="false" customHeight="false" outlineLevel="0" collapsed="false">
      <c r="A41" s="7" t="s">
        <v>210</v>
      </c>
      <c r="B41" s="8" t="s">
        <v>211</v>
      </c>
      <c r="C41" s="8" t="s">
        <v>6</v>
      </c>
      <c r="D41" s="8" t="s">
        <v>212</v>
      </c>
    </row>
    <row r="42" customFormat="false" ht="15" hidden="false" customHeight="false" outlineLevel="0" collapsed="false">
      <c r="A42" s="4" t="s">
        <v>213</v>
      </c>
      <c r="B42" s="12" t="n">
        <f aca="false">SUM(E7:E9)</f>
        <v>4229676</v>
      </c>
      <c r="C42" s="12" t="n">
        <f aca="false">AVERAGE(E7:E9)</f>
        <v>1409892</v>
      </c>
      <c r="D42" s="14" t="n">
        <v>1</v>
      </c>
    </row>
    <row r="43" customFormat="false" ht="15" hidden="false" customHeight="false" outlineLevel="0" collapsed="false">
      <c r="A43" s="4" t="s">
        <v>214</v>
      </c>
      <c r="B43" s="12" t="n">
        <f aca="false">SUM(E10:E16)</f>
        <v>5994372</v>
      </c>
      <c r="C43" s="12" t="n">
        <f aca="false">AVERAGE(E10:E16)</f>
        <v>856338.857142857</v>
      </c>
      <c r="D43" s="14" t="n">
        <f aca="false">C43/C42</f>
        <v>0.607379045446642</v>
      </c>
    </row>
    <row r="44" customFormat="false" ht="15" hidden="false" customHeight="false" outlineLevel="0" collapsed="false">
      <c r="A44" s="4" t="s">
        <v>215</v>
      </c>
      <c r="B44" s="12" t="n">
        <f aca="false">SUM(E17:E23)</f>
        <v>4535117</v>
      </c>
      <c r="C44" s="12" t="n">
        <f aca="false">AVERAGE(E17:E23)</f>
        <v>647873.857142857</v>
      </c>
      <c r="D44" s="14" t="n">
        <f aca="false">C44/C42</f>
        <v>0.459520202357952</v>
      </c>
    </row>
    <row r="45" customFormat="false" ht="15" hidden="false" customHeight="false" outlineLevel="0" collapsed="false">
      <c r="A45" s="4" t="s">
        <v>216</v>
      </c>
      <c r="B45" s="12" t="n">
        <f aca="false">SUM(E24:E28)</f>
        <v>2513093</v>
      </c>
      <c r="C45" s="12" t="n">
        <f aca="false">AVERAGE(E24:E28)</f>
        <v>502618.6</v>
      </c>
      <c r="D45" s="14" t="n">
        <f aca="false">C45/C42</f>
        <v>0.356494398152483</v>
      </c>
    </row>
    <row r="46" customFormat="false" ht="15" hidden="false" customHeight="false" outlineLevel="0" collapsed="false">
      <c r="A46" s="9" t="s">
        <v>217</v>
      </c>
      <c r="B46" s="12" t="n">
        <f aca="false">SUM(E29:E30)</f>
        <v>1298161</v>
      </c>
      <c r="C46" s="12" t="n">
        <f aca="false">AVERAGE(E29:E30)</f>
        <v>649080.5</v>
      </c>
      <c r="D46" s="14" t="n">
        <f aca="false">C46/C42</f>
        <v>0.46037604298769</v>
      </c>
    </row>
    <row r="48" customFormat="false" ht="15" hidden="false" customHeight="false" outlineLevel="0" collapsed="false">
      <c r="A48" s="3" t="s">
        <v>218</v>
      </c>
    </row>
    <row r="49" customFormat="false" ht="15" hidden="false" customHeight="false" outlineLevel="0" collapsed="false">
      <c r="A49" s="4" t="s">
        <v>219</v>
      </c>
      <c r="B49" s="13" t="n">
        <f aca="false">(SUMIF(B10:B30,"土",E10:E30)+SUMIF(B10:B30,"日",E10:E30))/(COUNTIF(B10:B30,"土")+COUNTIF(B10:B30,"日"))</f>
        <v>824055</v>
      </c>
    </row>
    <row r="50" customFormat="false" ht="15" hidden="false" customHeight="false" outlineLevel="0" collapsed="false">
      <c r="A50" s="4" t="s">
        <v>220</v>
      </c>
      <c r="B50" s="13" t="n">
        <f aca="false">(SUM(E10:E30)-SUMIF(B10:B30,"土",E10:E30)-SUMIF(B10:B30,"日",E10:E30))/(COUNT(E10:E30)-COUNTIF(B10:B30,"土")-COUNTIF(B10:B30,"日"))</f>
        <v>626427.533333333</v>
      </c>
    </row>
    <row r="51" customFormat="false" ht="15" hidden="false" customHeight="false" outlineLevel="0" collapsed="false">
      <c r="A51" s="2" t="s">
        <v>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2026-08-03T23:53:59Z</dcterms:created>
  <dc:creator>openpyxl</dc:creator>
  <dc:description/>
  <dc:language>en-US</dc:language>
  <cp:lastModifiedBy/>
  <dcterms:modified xsi:type="dcterms:W3CDTF">2026-08-03T23:54:00Z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